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N MIIC\MIMOM\2026\Sept\"/>
    </mc:Choice>
  </mc:AlternateContent>
  <xr:revisionPtr revIDLastSave="0" documentId="13_ncr:1_{F49E106F-E7AF-499D-A755-B6F4FC8EB3E1}" xr6:coauthVersionLast="36" xr6:coauthVersionMax="36" xr10:uidLastSave="{00000000-0000-0000-0000-000000000000}"/>
  <bookViews>
    <workbookView xWindow="0" yWindow="0" windowWidth="23040" windowHeight="8940" xr2:uid="{6A02FF92-57CC-4AF4-BDAC-930ACC16AB25}"/>
  </bookViews>
  <sheets>
    <sheet name="Product Update" sheetId="1" r:id="rId1"/>
  </sheets>
  <definedNames>
    <definedName name="_xlnm._FilterDatabase" localSheetId="0" hidden="1">'Product Update'!$A$1:$A$29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1" l="1"/>
  <c r="E22" i="1"/>
</calcChain>
</file>

<file path=xl/sharedStrings.xml><?xml version="1.0" encoding="utf-8"?>
<sst xmlns="http://schemas.openxmlformats.org/spreadsheetml/2006/main" count="77" uniqueCount="63">
  <si>
    <t>SS</t>
  </si>
  <si>
    <t>Product</t>
  </si>
  <si>
    <t>Annual Target</t>
  </si>
  <si>
    <t>No. &amp; Value of Locked Accounts</t>
  </si>
  <si>
    <t>Amount Closed</t>
  </si>
  <si>
    <t>Running</t>
  </si>
  <si>
    <t>Rebate</t>
  </si>
  <si>
    <t>HNH</t>
  </si>
  <si>
    <t>(Q1-NOV-JAN / Q2-FEB-APR</t>
  </si>
  <si>
    <t>Q3-MAY-JUL / Q4-AUG-OCT)</t>
  </si>
  <si>
    <t xml:space="preserve">HPE </t>
  </si>
  <si>
    <t>No rebate contract yet and marketing fund upon request</t>
  </si>
  <si>
    <t>SOM</t>
  </si>
  <si>
    <t>MED</t>
  </si>
  <si>
    <t>1%  every quarter 100% target</t>
  </si>
  <si>
    <t>SDT</t>
  </si>
  <si>
    <t>₱8,500,000.00          (1,700 units per year)</t>
  </si>
  <si>
    <t xml:space="preserve"> Silver Partner</t>
  </si>
  <si>
    <t>16,000,000.00 (4,000,000 Quarter)</t>
  </si>
  <si>
    <t>JMS</t>
  </si>
  <si>
    <t xml:space="preserve"> $405,000.00 annum (23,085,000.00 )</t>
  </si>
  <si>
    <t>Annual rebate computation</t>
  </si>
  <si>
    <t>CMG</t>
  </si>
  <si>
    <t xml:space="preserve">Desktop, NB, Projector, Monitor , Server </t>
  </si>
  <si>
    <t>CCS</t>
  </si>
  <si>
    <t>HW $1,700,000.00</t>
  </si>
  <si>
    <t>$ 1,042,163.00</t>
  </si>
  <si>
    <t>(P57,318,965.00)</t>
  </si>
  <si>
    <t>Dell Services Platinum Partner</t>
  </si>
  <si>
    <t>(Php .00)</t>
  </si>
  <si>
    <t>N/A</t>
  </si>
  <si>
    <t>No Target</t>
  </si>
  <si>
    <t>HPI - Synergy</t>
  </si>
  <si>
    <t>$ 289,000.00</t>
  </si>
  <si>
    <t>$ 400,000 per annum ($100k per  quarter) no quota for server</t>
  </si>
  <si>
    <t>1% - 100% of target
1.5% - 120% of target
50K MDF per quarter for EU
(5k pocket session 10 accounts)</t>
  </si>
  <si>
    <t>1,027,250.00 (Q1)</t>
  </si>
  <si>
    <t>$1,083,615.00</t>
  </si>
  <si>
    <t>$132,065.00</t>
  </si>
  <si>
    <t>Acer Preferred Partner   (1H Jan 1-Jun 30 2026)</t>
  </si>
  <si>
    <t>Autodesk As of January 2026</t>
  </si>
  <si>
    <t>Adobe Authorized Reseller</t>
  </si>
  <si>
    <t>SOPHOS Silver FY2026</t>
  </si>
  <si>
    <t>VERTIV Platinum (Jan-Dec 2026)</t>
  </si>
  <si>
    <t>Epson (April 2025-March2026)   Silver partner</t>
  </si>
  <si>
    <t>35,000,000.00  (8,750,000.00 Quarter)</t>
  </si>
  <si>
    <r>
      <t xml:space="preserve">Dell Platinum Partner Hardware 
</t>
    </r>
    <r>
      <rPr>
        <sz val="20"/>
        <rFont val="Calibri"/>
        <family val="2"/>
      </rPr>
      <t>(Q1-Q4 Feb2025-Jan2026)</t>
    </r>
  </si>
  <si>
    <t xml:space="preserve">115%  hitrate for 1H-2026  </t>
  </si>
  <si>
    <t>$   322,730.59 (19,363,835.67</t>
  </si>
  <si>
    <t>Lenovo 360 Platinum (PC laptop) 
  Platinum Partner (Server)  (May 30, 2026)</t>
  </si>
  <si>
    <r>
      <t>Microsoft Solutions Partner Designation for Modern Works MSP (</t>
    </r>
    <r>
      <rPr>
        <b/>
        <sz val="20"/>
        <color rgb="FFFF0000"/>
        <rFont val="Calibri"/>
        <family val="2"/>
      </rPr>
      <t>As of May 30, 2026</t>
    </r>
    <r>
      <rPr>
        <sz val="20"/>
        <color rgb="FF000000"/>
        <rFont val="Calibri"/>
        <family val="2"/>
      </rPr>
      <t>)</t>
    </r>
  </si>
  <si>
    <t>Qualified to Gold Partner, Update on Performance Revenue is still pending because of ongoing modernization of the program</t>
  </si>
  <si>
    <t>no contract and rebate already</t>
  </si>
  <si>
    <r>
      <t>APC Premier Partner (Jan 2026-Dec.2026)
Deliveries as of</t>
    </r>
    <r>
      <rPr>
        <b/>
        <sz val="20"/>
        <color rgb="FFFF0000"/>
        <rFont val="Calibri"/>
        <family val="2"/>
      </rPr>
      <t xml:space="preserve">  August 30, 2026</t>
    </r>
  </si>
  <si>
    <t xml:space="preserve">              $ 452,212.98                       ( 27,584,991.62)</t>
  </si>
  <si>
    <r>
      <t xml:space="preserve">CISCO Select Partner SMB  FY2025 (Aug 2025-July 2026) Deliveries as of </t>
    </r>
    <r>
      <rPr>
        <sz val="20"/>
        <color rgb="FFFF0000"/>
        <rFont val="Calibri"/>
        <family val="2"/>
      </rPr>
      <t xml:space="preserve"> </t>
    </r>
    <r>
      <rPr>
        <b/>
        <sz val="20"/>
        <color rgb="FFFF0000"/>
        <rFont val="Calibri"/>
        <family val="2"/>
      </rPr>
      <t>August 30, 2026</t>
    </r>
  </si>
  <si>
    <t>2,158,926 as of Sept 9, 2026</t>
  </si>
  <si>
    <r>
      <t>Heimdal  (</t>
    </r>
    <r>
      <rPr>
        <b/>
        <sz val="20"/>
        <color rgb="FFFF0000"/>
        <rFont val="Calibri"/>
        <family val="2"/>
      </rPr>
      <t>Deliveries as of August 28, 2026</t>
    </r>
    <r>
      <rPr>
        <sz val="20"/>
        <color theme="1"/>
        <rFont val="Calibri"/>
        <family val="2"/>
      </rPr>
      <t>)</t>
    </r>
  </si>
  <si>
    <t>HP Q3 (MAY-JUNE-JULY) 2026 REBATE - ₱  40,723.89 with Sales Invoice#0059990  dated estimated as of Sept 4 , 2026 -            For collection today (Friday) 9/11/2026                              HP Q4 (AUG-SEPT-OCT) 2026 REBATE - ₱  30,711.00  estimated as of Sept 09, 2026</t>
  </si>
  <si>
    <r>
      <t xml:space="preserve">(Deliveries as of </t>
    </r>
    <r>
      <rPr>
        <sz val="20"/>
        <color rgb="FFFF0000"/>
        <rFont val="Calibri"/>
        <family val="2"/>
      </rPr>
      <t>Aug 30</t>
    </r>
    <r>
      <rPr>
        <b/>
        <sz val="20"/>
        <color rgb="FFFF0000"/>
        <rFont val="Calibri"/>
        <family val="2"/>
      </rPr>
      <t>, 2026</t>
    </r>
    <r>
      <rPr>
        <sz val="20"/>
        <rFont val="Calibri"/>
        <family val="2"/>
      </rPr>
      <t>)</t>
    </r>
  </si>
  <si>
    <t>Rebate points 25,723 Credits as of Sept 15, 2026 1pt/unit</t>
  </si>
  <si>
    <r>
      <t>(Deliveries  as of</t>
    </r>
    <r>
      <rPr>
        <b/>
        <sz val="20"/>
        <color rgb="FFFF0000"/>
        <rFont val="Calibri"/>
        <family val="2"/>
      </rPr>
      <t xml:space="preserve"> August 30, 2026</t>
    </r>
    <r>
      <rPr>
        <sz val="20"/>
        <rFont val="Calibri"/>
        <family val="2"/>
      </rPr>
      <t>)</t>
    </r>
  </si>
  <si>
    <r>
      <t>Asus Business Partner   
Deliveries as of</t>
    </r>
    <r>
      <rPr>
        <b/>
        <sz val="20"/>
        <color rgb="FFFF0000"/>
        <rFont val="Calibri"/>
        <family val="2"/>
      </rPr>
      <t xml:space="preserve"> Aug 30,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</si>
</sst>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₱&quot;#,##0.00;\-&quot;₱&quot;#,##0.00"/>
    <numFmt numFmtId="8" formatCode="&quot;₱&quot;#,##0.00;[Red]\-&quot;₱&quot;#,##0.00"/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[Red]#,##0.00"/>
    <numFmt numFmtId="166" formatCode="[$$-409]#,##0.00"/>
    <numFmt numFmtId="167" formatCode="_-[$₱-3409]* #,##0.00_-;\-[$₱-3409]* #,##0.00_-;_-[$₱-3409]* &quot;-&quot;??_-;_-@_-"/>
  </numFmts>
  <fonts count="12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</font>
    <font>
      <sz val="20"/>
      <color theme="1"/>
      <name val="Calibri"/>
      <family val="2"/>
    </font>
    <font>
      <sz val="11"/>
      <color theme="1"/>
      <name val="Calibri"/>
      <family val="2"/>
      <scheme val="minor"/>
    </font>
    <font>
      <sz val="2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20"/>
      <color rgb="FFFF0000"/>
      <name val="Calibri"/>
      <family val="2"/>
    </font>
    <font>
      <b/>
      <sz val="24"/>
      <color theme="1"/>
      <name val="Calibri"/>
      <family val="2"/>
    </font>
    <font>
      <sz val="24"/>
      <color theme="1"/>
      <name val="Calibri"/>
      <family val="2"/>
    </font>
    <font>
      <sz val="20"/>
      <color rgb="FFFF0000"/>
      <name val="Calibri"/>
      <family val="2"/>
    </font>
    <font>
      <b/>
      <sz val="2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102">
    <xf numFmtId="0" fontId="0" fillId="0" borderId="0" xfId="0"/>
    <xf numFmtId="0" fontId="1" fillId="0" borderId="6" xfId="0" applyFont="1" applyBorder="1" applyAlignment="1">
      <alignment horizontal="center" vertical="center"/>
    </xf>
    <xf numFmtId="4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8" fontId="2" fillId="2" borderId="4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8" fontId="2" fillId="0" borderId="4" xfId="0" applyNumberFormat="1" applyFont="1" applyBorder="1" applyAlignment="1">
      <alignment horizontal="right" vertical="center"/>
    </xf>
    <xf numFmtId="8" fontId="2" fillId="0" borderId="4" xfId="0" applyNumberFormat="1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166" fontId="2" fillId="0" borderId="6" xfId="0" applyNumberFormat="1" applyFont="1" applyBorder="1" applyAlignment="1">
      <alignment horizontal="right" vertical="center" wrapText="1"/>
    </xf>
    <xf numFmtId="4" fontId="2" fillId="0" borderId="4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165" fontId="2" fillId="0" borderId="4" xfId="0" applyNumberFormat="1" applyFont="1" applyBorder="1" applyAlignment="1">
      <alignment horizontal="right" vertical="center" wrapText="1"/>
    </xf>
    <xf numFmtId="167" fontId="2" fillId="0" borderId="6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8" fontId="7" fillId="2" borderId="6" xfId="0" applyNumberFormat="1" applyFont="1" applyFill="1" applyBorder="1" applyAlignment="1">
      <alignment horizontal="right" vertical="center"/>
    </xf>
    <xf numFmtId="4" fontId="7" fillId="0" borderId="4" xfId="0" applyNumberFormat="1" applyFont="1" applyBorder="1" applyAlignment="1">
      <alignment horizontal="right" vertical="center"/>
    </xf>
    <xf numFmtId="0" fontId="2" fillId="0" borderId="0" xfId="0" applyFont="1"/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8" fillId="3" borderId="3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8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7" fontId="7" fillId="0" borderId="6" xfId="1" applyNumberFormat="1" applyFont="1" applyFill="1" applyBorder="1" applyAlignment="1">
      <alignment horizontal="right" vertical="center" wrapText="1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8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 wrapText="1"/>
    </xf>
    <xf numFmtId="8" fontId="7" fillId="2" borderId="4" xfId="0" applyNumberFormat="1" applyFont="1" applyFill="1" applyBorder="1" applyAlignment="1">
      <alignment horizontal="right" vertical="center" wrapText="1"/>
    </xf>
    <xf numFmtId="8" fontId="7" fillId="0" borderId="7" xfId="0" applyNumberFormat="1" applyFont="1" applyBorder="1" applyAlignment="1">
      <alignment horizontal="right" vertical="center" wrapText="1"/>
    </xf>
    <xf numFmtId="8" fontId="7" fillId="0" borderId="1" xfId="0" applyNumberFormat="1" applyFont="1" applyBorder="1" applyAlignment="1">
      <alignment horizontal="right" vertical="center" wrapText="1"/>
    </xf>
    <xf numFmtId="8" fontId="7" fillId="0" borderId="2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8" fontId="1" fillId="0" borderId="1" xfId="0" applyNumberFormat="1" applyFont="1" applyBorder="1" applyAlignment="1">
      <alignment horizontal="right" vertical="center"/>
    </xf>
    <xf numFmtId="8" fontId="1" fillId="0" borderId="2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right" vertical="center"/>
    </xf>
    <xf numFmtId="8" fontId="2" fillId="0" borderId="5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8" fontId="2" fillId="2" borderId="1" xfId="0" applyNumberFormat="1" applyFont="1" applyFill="1" applyBorder="1" applyAlignment="1">
      <alignment horizontal="right" vertical="center"/>
    </xf>
    <xf numFmtId="8" fontId="2" fillId="2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8" fontId="1" fillId="0" borderId="1" xfId="0" applyNumberFormat="1" applyFont="1" applyBorder="1" applyAlignment="1">
      <alignment horizontal="center" vertical="center"/>
    </xf>
    <xf numFmtId="8" fontId="1" fillId="0" borderId="2" xfId="0" applyNumberFormat="1" applyFont="1" applyBorder="1" applyAlignment="1">
      <alignment horizontal="center" vertical="center"/>
    </xf>
    <xf numFmtId="8" fontId="2" fillId="0" borderId="2" xfId="0" applyNumberFormat="1" applyFont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43" fontId="2" fillId="2" borderId="1" xfId="1" applyFont="1" applyFill="1" applyBorder="1" applyAlignment="1">
      <alignment horizontal="right" vertical="center" wrapText="1"/>
    </xf>
    <xf numFmtId="43" fontId="2" fillId="2" borderId="5" xfId="1" applyFont="1" applyFill="1" applyBorder="1" applyAlignment="1">
      <alignment horizontal="right" vertical="center" wrapText="1"/>
    </xf>
    <xf numFmtId="43" fontId="2" fillId="2" borderId="2" xfId="1" applyFont="1" applyFill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 wrapText="1"/>
    </xf>
    <xf numFmtId="8" fontId="7" fillId="2" borderId="1" xfId="0" applyNumberFormat="1" applyFont="1" applyFill="1" applyBorder="1" applyAlignment="1">
      <alignment horizontal="right" vertical="center" wrapText="1"/>
    </xf>
    <xf numFmtId="8" fontId="7" fillId="2" borderId="2" xfId="0" applyNumberFormat="1" applyFont="1" applyFill="1" applyBorder="1" applyAlignment="1">
      <alignment horizontal="right" vertical="center" wrapText="1"/>
    </xf>
    <xf numFmtId="44" fontId="11" fillId="2" borderId="1" xfId="0" applyNumberFormat="1" applyFont="1" applyFill="1" applyBorder="1" applyAlignment="1">
      <alignment horizontal="right" vertical="center"/>
    </xf>
    <xf numFmtId="44" fontId="11" fillId="2" borderId="5" xfId="0" applyNumberFormat="1" applyFont="1" applyFill="1" applyBorder="1" applyAlignment="1">
      <alignment horizontal="right" vertical="center"/>
    </xf>
    <xf numFmtId="44" fontId="11" fillId="2" borderId="2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right" vertical="center" wrapText="1"/>
    </xf>
    <xf numFmtId="44" fontId="11" fillId="0" borderId="4" xfId="0" applyNumberFormat="1" applyFont="1" applyBorder="1" applyAlignment="1">
      <alignment horizontal="right" vertical="center" wrapText="1"/>
    </xf>
  </cellXfs>
  <cellStyles count="6">
    <cellStyle name="Comma" xfId="1" builtinId="3"/>
    <cellStyle name="Comma 3" xfId="4" xr:uid="{E28636ED-95FA-400F-AE28-C0792932DE23}"/>
    <cellStyle name="Comma 4" xfId="3" xr:uid="{1CBA9ECB-C54B-4993-BCF4-E917C5EFFA3C}"/>
    <cellStyle name="Comma 5" xfId="5" xr:uid="{3DD794F5-D97A-46FE-AAFB-7937AA23A74A}"/>
    <cellStyle name="Normal" xfId="0" builtinId="0"/>
    <cellStyle name="Normal 2" xfId="2" xr:uid="{72B90390-8A84-423D-A0B5-47F294427705}"/>
  </cellStyles>
  <dxfs count="0"/>
  <tableStyles count="0" defaultTableStyle="TableStyleMedium2" defaultPivotStyle="PivotStyleLight16"/>
  <colors>
    <mruColors>
      <color rgb="FFFF33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3B01-C307-46CE-9C35-74C3E3B60D78}">
  <dimension ref="A1:I30"/>
  <sheetViews>
    <sheetView showGridLines="0" tabSelected="1" zoomScale="48" zoomScaleNormal="42" workbookViewId="0">
      <pane xSplit="1" ySplit="2" topLeftCell="B10" activePane="bottomRight" state="frozen"/>
      <selection pane="topRight" activeCell="B1" sqref="B1"/>
      <selection pane="bottomLeft" activeCell="A3" sqref="A3"/>
      <selection pane="bottomRight" activeCell="C19" sqref="C19"/>
    </sheetView>
  </sheetViews>
  <sheetFormatPr defaultColWidth="8.77734375" defaultRowHeight="60" customHeight="1" x14ac:dyDescent="0.5"/>
  <cols>
    <col min="1" max="1" width="21" style="34" customWidth="1"/>
    <col min="2" max="2" width="89.77734375" style="34" customWidth="1"/>
    <col min="3" max="3" width="101.77734375" style="36" customWidth="1"/>
    <col min="4" max="4" width="49" style="34" customWidth="1"/>
    <col min="5" max="5" width="58.21875" style="37" customWidth="1"/>
    <col min="6" max="6" width="98.5546875" style="34" customWidth="1"/>
    <col min="7" max="8" width="8.77734375" style="34"/>
    <col min="9" max="9" width="38.77734375" style="34" customWidth="1"/>
    <col min="10" max="16384" width="8.77734375" style="34"/>
  </cols>
  <sheetData>
    <row r="1" spans="1:7" s="40" customFormat="1" ht="30" customHeight="1" x14ac:dyDescent="0.6">
      <c r="A1" s="91" t="s">
        <v>0</v>
      </c>
      <c r="B1" s="91" t="s">
        <v>1</v>
      </c>
      <c r="C1" s="91" t="s">
        <v>2</v>
      </c>
      <c r="D1" s="93" t="s">
        <v>3</v>
      </c>
      <c r="E1" s="93" t="s">
        <v>4</v>
      </c>
      <c r="F1" s="38" t="s">
        <v>5</v>
      </c>
      <c r="G1" s="39"/>
    </row>
    <row r="2" spans="1:7" s="40" customFormat="1" ht="28.5" customHeight="1" thickBot="1" x14ac:dyDescent="0.65">
      <c r="A2" s="92"/>
      <c r="B2" s="92"/>
      <c r="C2" s="92"/>
      <c r="D2" s="94"/>
      <c r="E2" s="94"/>
      <c r="F2" s="41" t="s">
        <v>6</v>
      </c>
      <c r="G2" s="39"/>
    </row>
    <row r="3" spans="1:7" ht="31.2" customHeight="1" x14ac:dyDescent="0.5">
      <c r="A3" s="53" t="s">
        <v>7</v>
      </c>
      <c r="B3" s="1" t="s">
        <v>32</v>
      </c>
      <c r="C3" s="2">
        <v>4109000</v>
      </c>
      <c r="D3" s="85">
        <v>58365800</v>
      </c>
      <c r="E3" s="88" t="s">
        <v>56</v>
      </c>
      <c r="F3" s="76" t="s">
        <v>58</v>
      </c>
    </row>
    <row r="4" spans="1:7" ht="31.2" customHeight="1" x14ac:dyDescent="0.5">
      <c r="A4" s="61"/>
      <c r="B4" s="1" t="s">
        <v>8</v>
      </c>
      <c r="C4" s="3" t="s">
        <v>36</v>
      </c>
      <c r="D4" s="86"/>
      <c r="E4" s="89"/>
      <c r="F4" s="77"/>
    </row>
    <row r="5" spans="1:7" ht="101.4" customHeight="1" thickBot="1" x14ac:dyDescent="0.55000000000000004">
      <c r="A5" s="54"/>
      <c r="B5" s="4" t="s">
        <v>9</v>
      </c>
      <c r="C5" s="16"/>
      <c r="D5" s="87"/>
      <c r="E5" s="90"/>
      <c r="F5" s="78"/>
    </row>
    <row r="6" spans="1:7" ht="26.55" customHeight="1" x14ac:dyDescent="0.5">
      <c r="A6" s="53" t="s">
        <v>7</v>
      </c>
      <c r="B6" s="1" t="s">
        <v>10</v>
      </c>
      <c r="C6" s="3"/>
      <c r="D6" s="17"/>
      <c r="E6" s="79"/>
      <c r="F6" s="55" t="s">
        <v>11</v>
      </c>
    </row>
    <row r="7" spans="1:7" ht="31.2" customHeight="1" x14ac:dyDescent="0.5">
      <c r="A7" s="61"/>
      <c r="B7" s="1" t="s">
        <v>8</v>
      </c>
      <c r="C7" s="2">
        <v>10000000</v>
      </c>
      <c r="D7" s="32">
        <v>32113400</v>
      </c>
      <c r="E7" s="80"/>
      <c r="F7" s="82"/>
    </row>
    <row r="8" spans="1:7" ht="31.2" customHeight="1" thickBot="1" x14ac:dyDescent="0.55000000000000004">
      <c r="A8" s="54"/>
      <c r="B8" s="4" t="s">
        <v>9</v>
      </c>
      <c r="C8" s="16"/>
      <c r="D8" s="18"/>
      <c r="E8" s="81"/>
      <c r="F8" s="56"/>
    </row>
    <row r="9" spans="1:7" ht="39.6" customHeight="1" thickBot="1" x14ac:dyDescent="0.55000000000000004">
      <c r="A9" s="9" t="s">
        <v>7</v>
      </c>
      <c r="B9" s="7" t="s">
        <v>57</v>
      </c>
      <c r="C9" s="7" t="s">
        <v>31</v>
      </c>
      <c r="D9" s="33">
        <v>6219205.3100000005</v>
      </c>
      <c r="E9" s="25">
        <v>1897662.75</v>
      </c>
      <c r="F9" s="10"/>
    </row>
    <row r="10" spans="1:7" ht="40.950000000000003" customHeight="1" thickBot="1" x14ac:dyDescent="0.55000000000000004">
      <c r="A10" s="31" t="s">
        <v>12</v>
      </c>
      <c r="B10" s="4" t="s">
        <v>44</v>
      </c>
      <c r="C10" s="5"/>
      <c r="D10" s="19"/>
      <c r="E10" s="49"/>
      <c r="F10" s="6" t="s">
        <v>52</v>
      </c>
    </row>
    <row r="11" spans="1:7" ht="40.950000000000003" customHeight="1" x14ac:dyDescent="0.5">
      <c r="A11" s="53" t="s">
        <v>13</v>
      </c>
      <c r="B11" s="55" t="s">
        <v>49</v>
      </c>
      <c r="C11" s="14" t="s">
        <v>34</v>
      </c>
      <c r="D11" s="70">
        <v>3500000</v>
      </c>
      <c r="E11" s="83">
        <v>19818900</v>
      </c>
      <c r="F11" s="66" t="s">
        <v>14</v>
      </c>
    </row>
    <row r="12" spans="1:7" ht="28.95" customHeight="1" thickBot="1" x14ac:dyDescent="0.55000000000000004">
      <c r="A12" s="54"/>
      <c r="B12" s="54"/>
      <c r="C12" s="11">
        <v>23200000</v>
      </c>
      <c r="D12" s="71"/>
      <c r="E12" s="84"/>
      <c r="F12" s="72"/>
    </row>
    <row r="13" spans="1:7" ht="26.55" customHeight="1" x14ac:dyDescent="0.5">
      <c r="A13" s="53" t="s">
        <v>15</v>
      </c>
      <c r="B13" s="1" t="s">
        <v>43</v>
      </c>
      <c r="C13" s="68" t="s">
        <v>16</v>
      </c>
      <c r="D13" s="70"/>
      <c r="E13" s="51">
        <v>3871650</v>
      </c>
      <c r="F13" s="95" t="s">
        <v>60</v>
      </c>
    </row>
    <row r="14" spans="1:7" ht="26.55" customHeight="1" thickBot="1" x14ac:dyDescent="0.55000000000000004">
      <c r="A14" s="54"/>
      <c r="B14" s="13" t="s">
        <v>59</v>
      </c>
      <c r="C14" s="69"/>
      <c r="D14" s="71"/>
      <c r="E14" s="52"/>
      <c r="F14" s="96"/>
    </row>
    <row r="15" spans="1:7" ht="29.55" customHeight="1" x14ac:dyDescent="0.5">
      <c r="A15" s="53" t="s">
        <v>15</v>
      </c>
      <c r="B15" s="1" t="s">
        <v>42</v>
      </c>
      <c r="C15" s="73">
        <v>0</v>
      </c>
      <c r="D15" s="64">
        <v>0</v>
      </c>
      <c r="E15" s="51">
        <v>410500</v>
      </c>
      <c r="F15" s="66" t="s">
        <v>17</v>
      </c>
    </row>
    <row r="16" spans="1:7" ht="29.55" customHeight="1" thickBot="1" x14ac:dyDescent="0.55000000000000004">
      <c r="A16" s="54"/>
      <c r="B16" s="13" t="s">
        <v>61</v>
      </c>
      <c r="C16" s="74"/>
      <c r="D16" s="75"/>
      <c r="E16" s="52"/>
      <c r="F16" s="72"/>
    </row>
    <row r="17" spans="1:9" ht="32.549999999999997" customHeight="1" x14ac:dyDescent="0.5">
      <c r="A17" s="53" t="s">
        <v>15</v>
      </c>
      <c r="B17" s="62" t="s">
        <v>62</v>
      </c>
      <c r="C17" s="53" t="s">
        <v>18</v>
      </c>
      <c r="D17" s="64"/>
      <c r="E17" s="30">
        <v>2256800</v>
      </c>
      <c r="F17" s="66"/>
    </row>
    <row r="18" spans="1:9" ht="32.549999999999997" customHeight="1" x14ac:dyDescent="0.5">
      <c r="A18" s="61"/>
      <c r="B18" s="63"/>
      <c r="C18" s="61"/>
      <c r="D18" s="65"/>
      <c r="E18" s="43">
        <v>13497572</v>
      </c>
      <c r="F18" s="67"/>
    </row>
    <row r="19" spans="1:9" ht="109.2" customHeight="1" thickBot="1" x14ac:dyDescent="0.55000000000000004">
      <c r="A19" s="44" t="s">
        <v>19</v>
      </c>
      <c r="B19" s="45" t="s">
        <v>53</v>
      </c>
      <c r="C19" s="46" t="s">
        <v>45</v>
      </c>
      <c r="D19" s="47">
        <v>4597261</v>
      </c>
      <c r="E19" s="50">
        <v>19000791.370000001</v>
      </c>
      <c r="F19" s="48" t="s">
        <v>35</v>
      </c>
    </row>
    <row r="20" spans="1:9" ht="54" customHeight="1" thickBot="1" x14ac:dyDescent="0.55000000000000004">
      <c r="A20" s="31" t="s">
        <v>19</v>
      </c>
      <c r="B20" s="15" t="s">
        <v>55</v>
      </c>
      <c r="C20" s="7" t="s">
        <v>20</v>
      </c>
      <c r="D20" s="15" t="s">
        <v>54</v>
      </c>
      <c r="E20" s="100" t="s">
        <v>48</v>
      </c>
      <c r="F20" s="15" t="s">
        <v>21</v>
      </c>
    </row>
    <row r="21" spans="1:9" ht="27.6" customHeight="1" x14ac:dyDescent="0.5">
      <c r="A21" s="53" t="s">
        <v>24</v>
      </c>
      <c r="B21" s="55" t="s">
        <v>46</v>
      </c>
      <c r="C21" s="12" t="s">
        <v>25</v>
      </c>
      <c r="D21" s="20" t="s">
        <v>26</v>
      </c>
      <c r="E21" s="26" t="s">
        <v>37</v>
      </c>
      <c r="F21" s="97" t="s">
        <v>51</v>
      </c>
      <c r="I21" s="35"/>
    </row>
    <row r="22" spans="1:9" ht="27.6" customHeight="1" thickBot="1" x14ac:dyDescent="0.55000000000000004">
      <c r="A22" s="54"/>
      <c r="B22" s="56"/>
      <c r="C22" s="13" t="s">
        <v>29</v>
      </c>
      <c r="D22" s="21" t="s">
        <v>27</v>
      </c>
      <c r="E22" s="27">
        <f>1083615*59</f>
        <v>63933285</v>
      </c>
      <c r="F22" s="63"/>
    </row>
    <row r="23" spans="1:9" ht="24" customHeight="1" x14ac:dyDescent="0.5">
      <c r="A23" s="53" t="s">
        <v>24</v>
      </c>
      <c r="B23" s="53" t="s">
        <v>28</v>
      </c>
      <c r="C23" s="12" t="s">
        <v>33</v>
      </c>
      <c r="D23" s="57">
        <v>0</v>
      </c>
      <c r="E23" s="28" t="s">
        <v>38</v>
      </c>
      <c r="F23" s="98"/>
    </row>
    <row r="24" spans="1:9" ht="24" customHeight="1" thickBot="1" x14ac:dyDescent="0.55000000000000004">
      <c r="A24" s="54"/>
      <c r="B24" s="54"/>
      <c r="C24" s="13" t="s">
        <v>29</v>
      </c>
      <c r="D24" s="58"/>
      <c r="E24" s="29">
        <f>132065*59</f>
        <v>7791835</v>
      </c>
      <c r="F24" s="99"/>
    </row>
    <row r="25" spans="1:9" ht="72.599999999999994" customHeight="1" thickBot="1" x14ac:dyDescent="0.55000000000000004">
      <c r="A25" s="31" t="s">
        <v>24</v>
      </c>
      <c r="B25" s="6" t="s">
        <v>50</v>
      </c>
      <c r="C25" s="4"/>
      <c r="D25" s="22" t="s">
        <v>30</v>
      </c>
      <c r="E25" s="101">
        <v>8912729</v>
      </c>
      <c r="F25" s="42"/>
    </row>
    <row r="26" spans="1:9" ht="27" customHeight="1" x14ac:dyDescent="0.5">
      <c r="A26" s="53" t="s">
        <v>22</v>
      </c>
      <c r="B26" s="1" t="s">
        <v>39</v>
      </c>
      <c r="C26" s="1"/>
      <c r="D26" s="59">
        <v>5000000</v>
      </c>
      <c r="E26" s="51">
        <v>11475200</v>
      </c>
      <c r="F26" s="8" t="s">
        <v>47</v>
      </c>
    </row>
    <row r="27" spans="1:9" ht="27" customHeight="1" thickBot="1" x14ac:dyDescent="0.55000000000000004">
      <c r="A27" s="54"/>
      <c r="B27" s="4" t="s">
        <v>23</v>
      </c>
      <c r="C27" s="4"/>
      <c r="D27" s="60"/>
      <c r="E27" s="52"/>
      <c r="F27" s="6"/>
    </row>
    <row r="28" spans="1:9" ht="36.6" customHeight="1" thickBot="1" x14ac:dyDescent="0.55000000000000004">
      <c r="A28" s="9" t="s">
        <v>22</v>
      </c>
      <c r="B28" s="7" t="s">
        <v>40</v>
      </c>
      <c r="C28" s="7" t="s">
        <v>31</v>
      </c>
      <c r="D28" s="23">
        <v>500000</v>
      </c>
      <c r="E28" s="24">
        <v>1939204</v>
      </c>
      <c r="F28" s="10"/>
    </row>
    <row r="29" spans="1:9" ht="36.6" customHeight="1" thickBot="1" x14ac:dyDescent="0.55000000000000004">
      <c r="A29" s="9" t="s">
        <v>22</v>
      </c>
      <c r="B29" s="7" t="s">
        <v>41</v>
      </c>
      <c r="C29" s="7" t="s">
        <v>31</v>
      </c>
      <c r="D29" s="23">
        <v>500000</v>
      </c>
      <c r="E29" s="24"/>
      <c r="F29" s="10"/>
    </row>
    <row r="30" spans="1:9" ht="36.6" customHeight="1" x14ac:dyDescent="0.5"/>
  </sheetData>
  <autoFilter ref="A1:A29" xr:uid="{65B525AB-DD4B-426B-80FD-8ABCEB3D4B11}"/>
  <mergeCells count="41">
    <mergeCell ref="A1:A2"/>
    <mergeCell ref="B1:B2"/>
    <mergeCell ref="C1:C2"/>
    <mergeCell ref="D1:D2"/>
    <mergeCell ref="E1:E2"/>
    <mergeCell ref="F3:F5"/>
    <mergeCell ref="A6:A8"/>
    <mergeCell ref="E6:E8"/>
    <mergeCell ref="F6:F8"/>
    <mergeCell ref="A11:A12"/>
    <mergeCell ref="B11:B12"/>
    <mergeCell ref="D11:D12"/>
    <mergeCell ref="E11:E12"/>
    <mergeCell ref="F11:F12"/>
    <mergeCell ref="A3:A5"/>
    <mergeCell ref="D3:D5"/>
    <mergeCell ref="E3:E5"/>
    <mergeCell ref="A15:A16"/>
    <mergeCell ref="C15:C16"/>
    <mergeCell ref="D15:D16"/>
    <mergeCell ref="E15:E16"/>
    <mergeCell ref="F15:F16"/>
    <mergeCell ref="A13:A14"/>
    <mergeCell ref="C13:C14"/>
    <mergeCell ref="D13:D14"/>
    <mergeCell ref="E13:E14"/>
    <mergeCell ref="F13:F14"/>
    <mergeCell ref="A17:A18"/>
    <mergeCell ref="B17:B18"/>
    <mergeCell ref="C17:C18"/>
    <mergeCell ref="D17:D18"/>
    <mergeCell ref="F17:F18"/>
    <mergeCell ref="E26:E27"/>
    <mergeCell ref="A21:A22"/>
    <mergeCell ref="B21:B22"/>
    <mergeCell ref="F21:F24"/>
    <mergeCell ref="A23:A24"/>
    <mergeCell ref="B23:B24"/>
    <mergeCell ref="D23:D24"/>
    <mergeCell ref="A26:A27"/>
    <mergeCell ref="D26:D27"/>
  </mergeCells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Gardon</dc:creator>
  <cp:lastModifiedBy>Roseann Paez</cp:lastModifiedBy>
  <cp:lastPrinted>2026-05-12T05:33:16Z</cp:lastPrinted>
  <dcterms:created xsi:type="dcterms:W3CDTF">2025-08-15T06:27:29Z</dcterms:created>
  <dcterms:modified xsi:type="dcterms:W3CDTF">2026-09-15T08:34:34Z</dcterms:modified>
</cp:coreProperties>
</file>