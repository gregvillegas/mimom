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NN MIIC\MIMOM\2026\Sept\"/>
    </mc:Choice>
  </mc:AlternateContent>
  <xr:revisionPtr revIDLastSave="0" documentId="13_ncr:1_{3061AD19-6103-4163-907D-DD2EA6F3ABCF}" xr6:coauthVersionLast="36" xr6:coauthVersionMax="36" xr10:uidLastSave="{00000000-0000-0000-0000-000000000000}"/>
  <bookViews>
    <workbookView xWindow="0" yWindow="0" windowWidth="10380" windowHeight="4476" activeTab="1" xr2:uid="{94249EE3-497D-4D49-A119-E79A19696760}"/>
  </bookViews>
  <sheets>
    <sheet name="OVER 75DAYS" sheetId="327" r:id="rId1"/>
    <sheet name="OVER 60DAYS" sheetId="335" r:id="rId2"/>
  </sheets>
  <definedNames>
    <definedName name="_xlnm.Print_Area" localSheetId="1">'OVER 60DAYS'!$A$1:$AX$12</definedName>
    <definedName name="_xlnm.Print_Area" localSheetId="0">'OVER 75DAYS'!$A$1:$AX$19</definedName>
    <definedName name="_xlnm.Print_Titles" localSheetId="1">'OVER 60DAYS'!$9:$12</definedName>
    <definedName name="_xlnm.Print_Titles" localSheetId="0">'OVER 75DAYS'!$16:$19</definedName>
  </definedNames>
  <calcPr calcId="191029"/>
</workbook>
</file>

<file path=xl/calcChain.xml><?xml version="1.0" encoding="utf-8"?>
<calcChain xmlns="http://schemas.openxmlformats.org/spreadsheetml/2006/main">
  <c r="Q2" i="327" l="1"/>
  <c r="Q3" i="327"/>
  <c r="R28" i="327"/>
  <c r="N28" i="327"/>
  <c r="BD28" i="327" l="1"/>
  <c r="BC28" i="327"/>
  <c r="BB28" i="327"/>
  <c r="BA28" i="327"/>
  <c r="AZ28" i="327"/>
  <c r="AW28" i="327"/>
  <c r="AU28" i="327" s="1"/>
  <c r="AZ23" i="327"/>
  <c r="AZ24" i="327"/>
  <c r="AZ27" i="327"/>
  <c r="AZ25" i="327"/>
  <c r="AZ26" i="327"/>
  <c r="AZ29" i="327"/>
  <c r="BD27" i="327"/>
  <c r="BC27" i="327"/>
  <c r="BB27" i="327"/>
  <c r="BA27" i="327"/>
  <c r="AW27" i="327"/>
  <c r="AU27" i="327" s="1"/>
  <c r="AX28" i="327" l="1"/>
  <c r="AY28" i="327" s="1"/>
  <c r="AX27" i="327"/>
  <c r="AY27" i="327" s="1"/>
  <c r="R3" i="327" l="1"/>
  <c r="Q5" i="327"/>
  <c r="BC33" i="335"/>
  <c r="BB33" i="335"/>
  <c r="BA33" i="335"/>
  <c r="AZ33" i="335"/>
  <c r="AW33" i="335"/>
  <c r="AX33" i="335" s="1"/>
  <c r="AY33" i="335" s="1"/>
  <c r="BC32" i="335"/>
  <c r="BB32" i="335"/>
  <c r="BA32" i="335"/>
  <c r="AZ32" i="335"/>
  <c r="AW32" i="335"/>
  <c r="AU32" i="335"/>
  <c r="AP32" i="335"/>
  <c r="BC31" i="335"/>
  <c r="BB31" i="335"/>
  <c r="BA31" i="335"/>
  <c r="AZ31" i="335"/>
  <c r="AW31" i="335"/>
  <c r="AU31" i="335" s="1"/>
  <c r="BC30" i="335"/>
  <c r="BB30" i="335"/>
  <c r="BA30" i="335"/>
  <c r="AZ30" i="335"/>
  <c r="AW30" i="335"/>
  <c r="AU30" i="335" s="1"/>
  <c r="BC29" i="335"/>
  <c r="BB29" i="335"/>
  <c r="BA29" i="335"/>
  <c r="AZ29" i="335"/>
  <c r="AW29" i="335"/>
  <c r="AU29" i="335" s="1"/>
  <c r="BC28" i="335"/>
  <c r="BB28" i="335"/>
  <c r="BA28" i="335"/>
  <c r="AZ28" i="335"/>
  <c r="AW28" i="335"/>
  <c r="AU28" i="335"/>
  <c r="BC27" i="335"/>
  <c r="BB27" i="335"/>
  <c r="BA27" i="335"/>
  <c r="AZ27" i="335"/>
  <c r="AW27" i="335"/>
  <c r="AU27" i="335"/>
  <c r="R27" i="335"/>
  <c r="N27" i="335"/>
  <c r="N8" i="335" s="1"/>
  <c r="BC26" i="335"/>
  <c r="BB26" i="335"/>
  <c r="BA26" i="335"/>
  <c r="AZ26" i="335"/>
  <c r="AW26" i="335"/>
  <c r="BC25" i="335"/>
  <c r="BB25" i="335"/>
  <c r="BA25" i="335"/>
  <c r="AZ25" i="335"/>
  <c r="AW25" i="335"/>
  <c r="BC24" i="335"/>
  <c r="BB24" i="335"/>
  <c r="BA24" i="335"/>
  <c r="AZ24" i="335"/>
  <c r="AW24" i="335"/>
  <c r="BC23" i="335"/>
  <c r="BB23" i="335"/>
  <c r="BA23" i="335"/>
  <c r="AZ23" i="335"/>
  <c r="AW23" i="335"/>
  <c r="BC22" i="335"/>
  <c r="BB22" i="335"/>
  <c r="BA22" i="335"/>
  <c r="AZ22" i="335"/>
  <c r="AW22" i="335"/>
  <c r="BC21" i="335"/>
  <c r="BB21" i="335"/>
  <c r="BA21" i="335"/>
  <c r="AZ21" i="335"/>
  <c r="AW21" i="335"/>
  <c r="BC20" i="335"/>
  <c r="BB20" i="335"/>
  <c r="BA20" i="335"/>
  <c r="AZ20" i="335"/>
  <c r="AW20" i="335"/>
  <c r="BC19" i="335"/>
  <c r="BB19" i="335"/>
  <c r="BA19" i="335"/>
  <c r="AZ19" i="335"/>
  <c r="AW19" i="335"/>
  <c r="BC18" i="335"/>
  <c r="BB18" i="335"/>
  <c r="BA18" i="335"/>
  <c r="AZ18" i="335"/>
  <c r="AW18" i="335"/>
  <c r="BC17" i="335"/>
  <c r="BB17" i="335"/>
  <c r="BA17" i="335"/>
  <c r="AZ17" i="335"/>
  <c r="AW17" i="335"/>
  <c r="BC16" i="335"/>
  <c r="BB16" i="335"/>
  <c r="BA16" i="335"/>
  <c r="AZ16" i="335"/>
  <c r="AW16" i="335"/>
  <c r="BC15" i="335"/>
  <c r="BB15" i="335"/>
  <c r="BA15" i="335"/>
  <c r="AZ15" i="335"/>
  <c r="AW15" i="335"/>
  <c r="BC14" i="335"/>
  <c r="BB14" i="335"/>
  <c r="BA14" i="335"/>
  <c r="AZ14" i="335"/>
  <c r="AW14" i="335"/>
  <c r="BC13" i="335"/>
  <c r="BB13" i="335"/>
  <c r="BA13" i="335"/>
  <c r="AZ13" i="335"/>
  <c r="AW13" i="335"/>
  <c r="R8" i="335"/>
  <c r="AO8" i="335"/>
  <c r="AN8" i="335"/>
  <c r="AM8" i="335"/>
  <c r="AL8" i="335"/>
  <c r="AK8" i="335"/>
  <c r="AJ8" i="335"/>
  <c r="AI8" i="335"/>
  <c r="AH8" i="335"/>
  <c r="AG8" i="335"/>
  <c r="AZ21" i="327"/>
  <c r="AZ22" i="327"/>
  <c r="AZ20" i="327"/>
  <c r="BC29" i="327"/>
  <c r="BB29" i="327"/>
  <c r="BA29" i="327"/>
  <c r="AW29" i="327"/>
  <c r="AX29" i="327" s="1"/>
  <c r="AY29" i="327" s="1"/>
  <c r="BC26" i="327"/>
  <c r="BB26" i="327"/>
  <c r="BA26" i="327"/>
  <c r="AW26" i="327"/>
  <c r="AU26" i="327" s="1"/>
  <c r="AP26" i="327"/>
  <c r="BC25" i="327"/>
  <c r="BB25" i="327"/>
  <c r="BA25" i="327"/>
  <c r="AW25" i="327"/>
  <c r="AU25" i="327" s="1"/>
  <c r="BC24" i="327"/>
  <c r="BB24" i="327"/>
  <c r="BA24" i="327"/>
  <c r="AW24" i="327"/>
  <c r="AU24" i="327"/>
  <c r="BC23" i="327"/>
  <c r="BB23" i="327"/>
  <c r="BA23" i="327"/>
  <c r="AW23" i="327"/>
  <c r="AU23" i="327"/>
  <c r="BC22" i="327"/>
  <c r="BB22" i="327"/>
  <c r="BA22" i="327"/>
  <c r="AW22" i="327"/>
  <c r="AU22" i="327" s="1"/>
  <c r="BC21" i="327"/>
  <c r="BB21" i="327"/>
  <c r="BA21" i="327"/>
  <c r="AW21" i="327"/>
  <c r="AU21" i="327" s="1"/>
  <c r="AX21" i="327" s="1"/>
  <c r="AY21" i="327" s="1"/>
  <c r="R21" i="327"/>
  <c r="N21" i="327"/>
  <c r="BC20" i="327"/>
  <c r="BB20" i="327"/>
  <c r="BA20" i="327"/>
  <c r="AW20" i="327"/>
  <c r="AU20" i="327" s="1"/>
  <c r="AX20" i="327" s="1"/>
  <c r="AY20" i="327" s="1"/>
  <c r="AU17" i="335" l="1"/>
  <c r="AX17" i="335" s="1"/>
  <c r="AY17" i="335" s="1"/>
  <c r="AU14" i="335"/>
  <c r="AX14" i="335" s="1"/>
  <c r="AY14" i="335" s="1"/>
  <c r="AU22" i="335"/>
  <c r="AX22" i="335" s="1"/>
  <c r="AY22" i="335" s="1"/>
  <c r="AX30" i="335"/>
  <c r="AY30" i="335" s="1"/>
  <c r="AU19" i="335"/>
  <c r="AX19" i="335" s="1"/>
  <c r="AY19" i="335" s="1"/>
  <c r="AU16" i="335"/>
  <c r="AX16" i="335" s="1"/>
  <c r="AY16" i="335" s="1"/>
  <c r="AU24" i="335"/>
  <c r="AX24" i="335" s="1"/>
  <c r="AY24" i="335" s="1"/>
  <c r="AX29" i="335"/>
  <c r="AY29" i="335" s="1"/>
  <c r="AU13" i="335"/>
  <c r="AX13" i="335" s="1"/>
  <c r="AY13" i="335" s="1"/>
  <c r="AU21" i="335"/>
  <c r="AX21" i="335" s="1"/>
  <c r="AY21" i="335" s="1"/>
  <c r="AU18" i="335"/>
  <c r="AX18" i="335" s="1"/>
  <c r="AY18" i="335" s="1"/>
  <c r="AX28" i="335"/>
  <c r="AY28" i="335" s="1"/>
  <c r="AU15" i="335"/>
  <c r="AX15" i="335" s="1"/>
  <c r="AY15" i="335" s="1"/>
  <c r="AU23" i="335"/>
  <c r="AX23" i="335" s="1"/>
  <c r="AY23" i="335" s="1"/>
  <c r="AX32" i="335"/>
  <c r="AY32" i="335" s="1"/>
  <c r="AU20" i="335"/>
  <c r="AX20" i="335" s="1"/>
  <c r="AY20" i="335" s="1"/>
  <c r="AX27" i="335"/>
  <c r="AY27" i="335" s="1"/>
  <c r="AX31" i="335"/>
  <c r="AY31" i="335" s="1"/>
  <c r="AU25" i="335"/>
  <c r="AX25" i="335" s="1"/>
  <c r="AY25" i="335" s="1"/>
  <c r="AU26" i="335"/>
  <c r="AX26" i="335" s="1"/>
  <c r="AY26" i="335" s="1"/>
  <c r="AX23" i="327"/>
  <c r="AY23" i="327" s="1"/>
  <c r="AX22" i="327"/>
  <c r="AY22" i="327" s="1"/>
  <c r="AX26" i="327"/>
  <c r="AY26" i="327" s="1"/>
  <c r="AX24" i="327"/>
  <c r="AY24" i="327" s="1"/>
  <c r="AX25" i="327"/>
  <c r="AY25" i="327" s="1"/>
  <c r="R15" i="327"/>
  <c r="N15" i="327"/>
  <c r="AG15" i="327" l="1"/>
  <c r="N3" i="327" l="1"/>
  <c r="N5" i="327"/>
  <c r="N2" i="327"/>
  <c r="N4" i="327"/>
  <c r="N6" i="327" l="1"/>
  <c r="P6" i="327" l="1"/>
  <c r="O6" i="327"/>
  <c r="AF6" i="327" l="1"/>
  <c r="AE15" i="327" l="1"/>
  <c r="AB15" i="327"/>
  <c r="AA15" i="327"/>
  <c r="Z15" i="327"/>
  <c r="Y15" i="327"/>
  <c r="X15" i="327"/>
  <c r="W15" i="327"/>
  <c r="U15" i="327"/>
  <c r="T15" i="327"/>
  <c r="S15" i="327" l="1"/>
  <c r="V15" i="327" l="1"/>
  <c r="AO15" i="327" l="1"/>
  <c r="AN15" i="327"/>
  <c r="AM15" i="327"/>
  <c r="AL15" i="327"/>
  <c r="AK15" i="327"/>
  <c r="AJ15" i="327"/>
  <c r="AI15" i="327"/>
  <c r="AH15" i="3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Maricel E. Aguilar</author>
    <author>Maurine Piguerra</author>
  </authors>
  <commentList>
    <comment ref="AQ21" authorId="0" shapeId="0" xr:uid="{523D13D0-3C20-478C-8040-80DADBD29A2C}">
      <text>
        <r>
          <rPr>
            <b/>
            <sz val="9"/>
            <color indexed="81"/>
            <rFont val="Tahoma"/>
            <family val="2"/>
          </rPr>
          <t>06/17/20226-31741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26" authorId="0" shapeId="0" xr:uid="{61B34657-1C23-46B8-AFF6-5014A46156C3}">
      <text>
        <r>
          <rPr>
            <b/>
            <sz val="9"/>
            <color indexed="81"/>
            <rFont val="Tahoma"/>
            <family val="2"/>
          </rPr>
          <t>CR#29607-10/08/25 = SO#58490=0.48
CR#29821-10/30/25 = SO#58763=0.48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0" authorId="0" shapeId="0" xr:uid="{153B64ED-CC8E-41B2-95FA-29DF3B2B79D7}">
      <text>
        <r>
          <rPr>
            <b/>
            <sz val="9"/>
            <color indexed="81"/>
            <rFont val="Tahoma"/>
            <family val="2"/>
          </rPr>
          <t>06/17/20226-31741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1" authorId="0" shapeId="0" xr:uid="{4E431F66-6AF8-42FD-9A38-E6EA15BF8BBD}">
      <text>
        <r>
          <rPr>
            <b/>
            <sz val="9"/>
            <color indexed="81"/>
            <rFont val="Tahoma"/>
            <family val="2"/>
          </rPr>
          <t>07/032 CR#31906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41" authorId="0" shapeId="0" xr:uid="{44ED2749-BEF2-4A93-9F01-E111A7F93A4B}">
      <text>
        <r>
          <rPr>
            <b/>
            <sz val="9"/>
            <color indexed="81"/>
            <rFont val="Tahoma"/>
            <family val="2"/>
          </rPr>
          <t>CR#29607-10/08/25 = SO#58490=0.48
CR#29821-10/30/25 = SO#58763=0.48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2" authorId="1" shapeId="0" xr:uid="{D344EBC8-DBCB-4581-9D28-B67AC1EF0A1E}">
      <text>
        <r>
          <rPr>
            <b/>
            <sz val="9"/>
            <color indexed="81"/>
            <rFont val="Tahoma"/>
            <family val="2"/>
          </rPr>
          <t>Maurine Piguerra:</t>
        </r>
        <r>
          <rPr>
            <sz val="9"/>
            <color indexed="81"/>
            <rFont val="Tahoma"/>
            <family val="2"/>
          </rPr>
          <t xml:space="preserve">
CR#31412= 487,338.50 6/19/26
CR#31415= 487,338.50 7/10/26
CR#31413= 487,338.50 8/14/26
CR#31416= 452,443.00 9/11/26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Maricel E. Aguilar</author>
    <author>Maurine Piguerra</author>
  </authors>
  <commentList>
    <comment ref="AQ27" authorId="0" shapeId="0" xr:uid="{B6FB2270-04F3-40FF-98CB-33A9CD47BFAA}">
      <text>
        <r>
          <rPr>
            <b/>
            <sz val="9"/>
            <color indexed="81"/>
            <rFont val="Tahoma"/>
            <family val="2"/>
          </rPr>
          <t>07/032 CR#31906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32" authorId="0" shapeId="0" xr:uid="{936402B6-D696-4E3F-8368-1B1541EFA4A5}">
      <text>
        <r>
          <rPr>
            <b/>
            <sz val="9"/>
            <color indexed="81"/>
            <rFont val="Tahoma"/>
            <family val="2"/>
          </rPr>
          <t>CR#29607-10/08/25 = SO#58490=0.48
CR#29821-10/30/25 = SO#58763=0.48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4" authorId="1" shapeId="0" xr:uid="{996F9E52-C1A7-4897-8748-7E2F21F59890}">
      <text>
        <r>
          <rPr>
            <b/>
            <sz val="9"/>
            <color indexed="81"/>
            <rFont val="Tahoma"/>
            <family val="2"/>
          </rPr>
          <t>Maurine Piguerra:</t>
        </r>
        <r>
          <rPr>
            <sz val="9"/>
            <color indexed="81"/>
            <rFont val="Tahoma"/>
            <family val="2"/>
          </rPr>
          <t xml:space="preserve">
32325=219,366.66 09/17/26
32326=219,366.66  10/17/26</t>
        </r>
      </text>
    </comment>
    <comment ref="AQ40" authorId="0" shapeId="0" xr:uid="{AA69A539-0146-40CD-9307-8914243D4736}">
      <text>
        <r>
          <rPr>
            <b/>
            <sz val="9"/>
            <color indexed="81"/>
            <rFont val="Tahoma"/>
            <family val="2"/>
          </rPr>
          <t>06/17/20226-31741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<sst xmlns="http://schemas.openxmlformats.org/spreadsheetml/2006/main" count="607" uniqueCount="217">
  <si>
    <t>PARTICULARS</t>
  </si>
  <si>
    <t>DR</t>
  </si>
  <si>
    <t>SO</t>
  </si>
  <si>
    <t>AE</t>
  </si>
  <si>
    <t>GRP</t>
  </si>
  <si>
    <t>P.O. NO.</t>
  </si>
  <si>
    <t>QTY</t>
  </si>
  <si>
    <t>AMOUNT</t>
  </si>
  <si>
    <t>DELIVERED</t>
  </si>
  <si>
    <t>FREE ITEMS</t>
  </si>
  <si>
    <t>ID</t>
  </si>
  <si>
    <t>DT COLL.</t>
  </si>
  <si>
    <t>COLL</t>
  </si>
  <si>
    <t>DT PDC</t>
  </si>
  <si>
    <t>PDC</t>
  </si>
  <si>
    <t>TAX</t>
  </si>
  <si>
    <t>PENALTY</t>
  </si>
  <si>
    <t>REMARKS</t>
  </si>
  <si>
    <t>W/O 2307</t>
  </si>
  <si>
    <t>WITH 2307</t>
  </si>
  <si>
    <t>CM</t>
  </si>
  <si>
    <t>PAYMENT</t>
  </si>
  <si>
    <t>T</t>
  </si>
  <si>
    <t>CODE</t>
  </si>
  <si>
    <t>MARGIN</t>
  </si>
  <si>
    <t>COST</t>
  </si>
  <si>
    <t>COST B-4 2%</t>
  </si>
  <si>
    <t>MICRO IMAGE INTERNATIONAL CORPORATION</t>
  </si>
  <si>
    <t>S.O.</t>
  </si>
  <si>
    <t xml:space="preserve">INV </t>
  </si>
  <si>
    <t>DATE</t>
  </si>
  <si>
    <t>GROSS</t>
  </si>
  <si>
    <t>CLIENT</t>
  </si>
  <si>
    <t>SALES</t>
  </si>
  <si>
    <t>SVC CHRGE</t>
  </si>
  <si>
    <t>EWT</t>
  </si>
  <si>
    <t>OFF-SET</t>
  </si>
  <si>
    <t>OVER/ADV</t>
  </si>
  <si>
    <t>5%-ENG</t>
  </si>
  <si>
    <t>ACTUAL</t>
  </si>
  <si>
    <t>TIN</t>
  </si>
  <si>
    <t>ADDRESS</t>
  </si>
  <si>
    <t>BRAND</t>
  </si>
  <si>
    <t>INV.</t>
  </si>
  <si>
    <t>CR NO.</t>
  </si>
  <si>
    <t>DELIVERY</t>
  </si>
  <si>
    <t>CHARGE</t>
  </si>
  <si>
    <t>REPRESEN</t>
  </si>
  <si>
    <t>TATION</t>
  </si>
  <si>
    <t>INSTALLATION</t>
  </si>
  <si>
    <t>MIIC</t>
  </si>
  <si>
    <t>NET</t>
  </si>
  <si>
    <t>VAT</t>
  </si>
  <si>
    <t>================</t>
  </si>
  <si>
    <t>==========================================</t>
  </si>
  <si>
    <t>MASTERFILE</t>
  </si>
  <si>
    <t>ON PREVIOUS MONTH</t>
  </si>
  <si>
    <t>GOV'T</t>
  </si>
  <si>
    <t>CASH</t>
  </si>
  <si>
    <t>==================</t>
  </si>
  <si>
    <t xml:space="preserve">COST OF </t>
  </si>
  <si>
    <t>MONEY</t>
  </si>
  <si>
    <t xml:space="preserve">PROFIT </t>
  </si>
  <si>
    <t>(BASED ON SO)</t>
  </si>
  <si>
    <t>CLIENT ID</t>
  </si>
  <si>
    <t>ITEM</t>
  </si>
  <si>
    <t>STOCK</t>
  </si>
  <si>
    <t>C/O MIIC</t>
  </si>
  <si>
    <t>====================</t>
  </si>
  <si>
    <t>========</t>
  </si>
  <si>
    <t>JULY</t>
  </si>
  <si>
    <t>OVER 75</t>
  </si>
  <si>
    <t>ON PROCESS</t>
  </si>
  <si>
    <t>FOR COLLECTION</t>
  </si>
  <si>
    <t>TEAM A</t>
  </si>
  <si>
    <t>TEAM B</t>
  </si>
  <si>
    <t>TECH SUPPORT</t>
  </si>
  <si>
    <t>OFFICE</t>
  </si>
  <si>
    <t>DELIVERIES</t>
  </si>
  <si>
    <t>UNDELIVERED</t>
  </si>
  <si>
    <t>PROFIT</t>
  </si>
  <si>
    <t>============</t>
  </si>
  <si>
    <t>H</t>
  </si>
  <si>
    <t>LENOVO</t>
  </si>
  <si>
    <t>CONFORME ONLY</t>
  </si>
  <si>
    <t>JRR</t>
  </si>
  <si>
    <t>MAKATI CITY</t>
  </si>
  <si>
    <t>OFC</t>
  </si>
  <si>
    <t>A</t>
  </si>
  <si>
    <t>PERSONAL</t>
  </si>
  <si>
    <t>E</t>
  </si>
  <si>
    <t>APC</t>
  </si>
  <si>
    <t>COD</t>
  </si>
  <si>
    <t>PAULYN SUMAYLO</t>
  </si>
  <si>
    <t>LENOVO ZAE40152PH  IDEATAB PRO TB373FU TABLET</t>
  </si>
  <si>
    <t>DR#1179</t>
  </si>
  <si>
    <t>MICROSOFT</t>
  </si>
  <si>
    <t>F</t>
  </si>
  <si>
    <t>ACER</t>
  </si>
  <si>
    <t>HONDA PHILIPPINES, INC</t>
  </si>
  <si>
    <t>LOT 34, PHASE 1-B FPIP, TANAUAN CITY BATANGAS, PHILIPPINES 4232</t>
  </si>
  <si>
    <t>JMS</t>
  </si>
  <si>
    <t>000-664-102-000</t>
  </si>
  <si>
    <t>INSULAR HEALTH CARE INC.</t>
  </si>
  <si>
    <t>2F INSULAR HEALTH CARE BUILDING 167 DELA ROSA CORNER LEGASPI STREET, LEGASPI VILLAGE, MAKATI CITY</t>
  </si>
  <si>
    <t xml:space="preserve">000-161-299-00000 </t>
  </si>
  <si>
    <t>JABRA</t>
  </si>
  <si>
    <t xml:space="preserve">JABRA 7700-309 750 SPEAKER </t>
  </si>
  <si>
    <t>ACER NXBLPSP004 TRAVELMATE P215-75-G2-TCO-77Q7 LAPTOP</t>
  </si>
  <si>
    <t xml:space="preserve"> 2F INSULAR HEALTH CARE BUILDING 167 DELA ROSA CORNER LEGASPI STREET, LEGASPI VILLAGE, MAKATI CITY</t>
  </si>
  <si>
    <t>INSULAR HEALTH CARE</t>
  </si>
  <si>
    <t>ANYDESK</t>
  </si>
  <si>
    <t>ANYDESK STANDARD RENEWAL LICENSE</t>
  </si>
  <si>
    <t>CMG</t>
  </si>
  <si>
    <t>000-291-799-00000</t>
  </si>
  <si>
    <t>DEL MONTE PHILIPPINES, INC.</t>
  </si>
  <si>
    <t>BUGO, CAGAYAN DE ORO CITY</t>
  </si>
  <si>
    <t>VERTEX</t>
  </si>
  <si>
    <t>VERTEX STANDARD UHF HANDHELD RADIO TRANSCEIVER</t>
  </si>
  <si>
    <t>===============</t>
  </si>
  <si>
    <t>LENOVO 64B5KAR1PH 24-INCH THINKVISION S24-4E MONITOR</t>
  </si>
  <si>
    <t>HP</t>
  </si>
  <si>
    <t>MGA</t>
  </si>
  <si>
    <t>CMN</t>
  </si>
  <si>
    <t>000-508-837-001</t>
  </si>
  <si>
    <t>UNIVERSITY OF SANTO TOMAS HOSPITAL</t>
  </si>
  <si>
    <t>UNIVERSITY OF SANTO TOMAS HOSPITAL, ESPAÑA, MANILA 1015</t>
  </si>
  <si>
    <t>APC BVX650I-PH 650VA UPS</t>
  </si>
  <si>
    <t>ABM</t>
  </si>
  <si>
    <t>C</t>
  </si>
  <si>
    <t>JLU</t>
  </si>
  <si>
    <t>G</t>
  </si>
  <si>
    <t>008-280-303-000</t>
  </si>
  <si>
    <t>FUJIFILM PHILIPPINES INC.</t>
  </si>
  <si>
    <t>AUTOCAD</t>
  </si>
  <si>
    <t>AUTODESK 057I1-006845-L846 LT COMMERCIAL SINGLE- USER ANNUAL SUBSCRIPTION RENEWAL</t>
  </si>
  <si>
    <t>LOGITECH</t>
  </si>
  <si>
    <t>MAD</t>
  </si>
  <si>
    <t>TSG</t>
  </si>
  <si>
    <t>007-571-298-000</t>
  </si>
  <si>
    <t>ORTIGAS COMMERCIAL CORPORATION</t>
  </si>
  <si>
    <t>A4TECH</t>
  </si>
  <si>
    <t>HIKVISION</t>
  </si>
  <si>
    <t>000-172-477-00000</t>
  </si>
  <si>
    <t>TRINITY INSURANCE AND REINSURANCE BROKERS, INC.</t>
  </si>
  <si>
    <t>3F-6F TRINITY INSURANCE CENTER, 7504 BAGTIKAN ST. SAN ANTONIO VILLAGE</t>
  </si>
  <si>
    <t>BGS</t>
  </si>
  <si>
    <t xml:space="preserve">000-161-299-00000    </t>
  </si>
  <si>
    <t>7TH FLOOR WEST WING, ESTANCIAOFFICES, CAPITOL COMMONS MERALCO AVENUE, BRGY. ORANBO, PASIG CITY</t>
  </si>
  <si>
    <t>POO26-0000001772</t>
  </si>
  <si>
    <t>25th FLOOR SM AURA TOWER 26th ST CORNER MCKINLEY PARKWAY TAGUIG CITY 1630 PHILIPPINES</t>
  </si>
  <si>
    <t>LENOVO THINKPAD E14 GEN 7</t>
  </si>
  <si>
    <t xml:space="preserve">004-615-853-00000  </t>
  </si>
  <si>
    <t>ASEANA HOLDINGS, LNC.</t>
  </si>
  <si>
    <t>3RD FLR ASEANA POWER STATION BLDG., PRES. O.MACAPAGAL BLVD. COR. BRADCO AVE. ,BRGY. TAMBO, PARANAQUE CITY, NCR, 4TH DISTRICT,</t>
  </si>
  <si>
    <t>HIKVISION HWI-B140H 4MP FIXED BULLET IPC CAMERA</t>
  </si>
  <si>
    <t xml:space="preserve">AHI23368    </t>
  </si>
  <si>
    <t>MICROSOFT AZURE SLSSUPSVCGENAZU~STI0 REMOTE IMPLEMENTATION AND CONFIGURATION</t>
  </si>
  <si>
    <t>2026TIRBI-099</t>
  </si>
  <si>
    <t>50% DOWNPAYMENT  &amp;  50% UPON SIGNING OF COC</t>
  </si>
  <si>
    <t>203-029-691-000</t>
  </si>
  <si>
    <t>SMEC PHILIPPINES INC.</t>
  </si>
  <si>
    <t xml:space="preserve">UNIT 903-906 THE ORIENT SQUARE BLDG., F. ORTIGAS JR., AVE., ORTIGAS CENTER, PASIG CITY, 105  </t>
  </si>
  <si>
    <t>2026-0093</t>
  </si>
  <si>
    <t>007-912-095-000</t>
  </si>
  <si>
    <t>BRINK’S PHILIPPINES, INC.</t>
  </si>
  <si>
    <t>#647 QUIRINO HIGHWAY BARANGAY BAGBAG, NOVALICHES, QUEZON CITY 1116 PHILIPPINES</t>
  </si>
  <si>
    <t xml:space="preserve">HP L65224-001 SPS-TOP COVER </t>
  </si>
  <si>
    <t>DELL</t>
  </si>
  <si>
    <t>CCS</t>
  </si>
  <si>
    <t xml:space="preserve">007-930-327-000   </t>
  </si>
  <si>
    <t>KMC MAG SOLUTIONS, INC.</t>
  </si>
  <si>
    <t>20TH AND 24TH FLOOR PICADILLY STAR BLDG. 27TH STREET COR. 4TH AVE. BONIFACIO GLOBAL CITY TAGUIG CITY NATIONAL CAPITAL REGION 1634</t>
  </si>
  <si>
    <t>MTB</t>
  </si>
  <si>
    <t>AAG</t>
  </si>
  <si>
    <t>AOC</t>
  </si>
  <si>
    <t>TRELLIX</t>
  </si>
  <si>
    <t>TRELLIX EPESCECE-AA-AA ENDPOINT ESSENTIALS CLOUD RENEWAL LICENSE</t>
  </si>
  <si>
    <t>FAT</t>
  </si>
  <si>
    <t>LOGITECH 920-003235 MK220 WIRELESS KEYBOARD AND MOUSE COMBO</t>
  </si>
  <si>
    <t>008-380-068-002</t>
  </si>
  <si>
    <t>EHS LENS PHILIPPINES INC.</t>
  </si>
  <si>
    <t>SPECIAL ECONOMIC ZONE , LOT 1-A PHASE 1-B , FPIP, TANAUAN BATANGAS, PHILIPPINES</t>
  </si>
  <si>
    <t>LENOVO 83GW00CMPA V15 G5 IRL LAPTOP</t>
  </si>
  <si>
    <t xml:space="preserve">PHYSICIAN'S DIAGNOSTIC SERVICES CENTER, INC. </t>
  </si>
  <si>
    <t xml:space="preserve">533 PHYSICIAN'S TOWER U.N. AVE. COR. SAN CARLOS ST. ERMITA, MANILA </t>
  </si>
  <si>
    <t>A4TECH OP-720 USB MOUSE</t>
  </si>
  <si>
    <t>543-1260</t>
  </si>
  <si>
    <t>DELL 210-BPDR PRO 14 PLUS ULTRA7 PB14250 LAPTOP</t>
  </si>
  <si>
    <t>KMCS00000781</t>
  </si>
  <si>
    <t>000-428-573-00000</t>
  </si>
  <si>
    <t>DOLE PHILIPPINES, INC.</t>
  </si>
  <si>
    <t>SARANGANI ECONOMIC DEVELOPMENT ZONE or SEDZ POLOMOLOK, SOUTH COTABATO, 9504 PHILIPPINES</t>
  </si>
  <si>
    <t>MS SURFACE</t>
  </si>
  <si>
    <t>MICROSOFT SURFACE DOCK 2 COMM</t>
  </si>
  <si>
    <t xml:space="preserve">007-930-327-000  </t>
  </si>
  <si>
    <t>PR-454279</t>
  </si>
  <si>
    <t xml:space="preserve"> 200-616-935 </t>
  </si>
  <si>
    <t>AOC 22B30HM22 21.5" 120HZ VA FHD VGA/HDMI MONITOR</t>
  </si>
  <si>
    <t>BUGO,  CAGAYAN DE ORO CITY</t>
  </si>
  <si>
    <t>LENOVO 64BEKAR1PH THINKVISION S27-4E 27 INCH MONITOR</t>
  </si>
  <si>
    <t>PR-454282</t>
  </si>
  <si>
    <t>000-153-321-00000</t>
  </si>
  <si>
    <t>ALDEX REALTY CORPORATION</t>
  </si>
  <si>
    <t>6749 AYALA AVENUE URDANETA CITY OF MAKATI, NCR, PHILIPPINES 1226</t>
  </si>
  <si>
    <t>DELL PV15250 PRO 15 ESSENTIAL LAPTOP</t>
  </si>
  <si>
    <t xml:space="preserve"> DPMPO2606788</t>
  </si>
  <si>
    <t>re-sched collection on Friday 09/18/2026+</t>
  </si>
  <si>
    <t>for collection Monday 09/14/2026</t>
  </si>
  <si>
    <t>For offset once SO#62256 is fully paid and delivered.</t>
  </si>
  <si>
    <t>for collection Tuesday 09/15/2026</t>
  </si>
  <si>
    <t>010-339-714-000</t>
  </si>
  <si>
    <t>FLUENCE ENERGY INC</t>
  </si>
  <si>
    <t>312 36TH ST.WEST (CORNER OF 4TH AVENUE) 17TH FLOOR MARAJO TOWER (BONIFACIO GLOBAL CITY NEIGHBORHOOD) TAGUIG CITY, METRO MANILA</t>
  </si>
  <si>
    <t>CISCO</t>
  </si>
  <si>
    <t>CISCO CATALYST 8200L WITH 1-NIM SLOT AND 4X1G WAN PORTS</t>
  </si>
  <si>
    <t>MBB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</si>
</sst>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mm/dd/yy;@"/>
    <numFmt numFmtId="166" formatCode="_(* #,##0.00_);_(* \(#,##0.00\);_(* \-??_);_(@_)"/>
    <numFmt numFmtId="167" formatCode="0_)"/>
    <numFmt numFmtId="168" formatCode="_(&quot;$&quot;* #,##0.00_);_(&quot;$&quot;* \(#,##0.00\);_(&quot;$&quot;* &quot;-&quot;??_);_(@_)"/>
  </numFmts>
  <fonts count="6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9">
    <xf numFmtId="0" fontId="0" fillId="0" borderId="0"/>
    <xf numFmtId="166" fontId="30" fillId="0" borderId="0" applyFill="0" applyBorder="0" applyAlignment="0" applyProtection="0"/>
    <xf numFmtId="0" fontId="30" fillId="0" borderId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0" fontId="30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0" fontId="34" fillId="20" borderId="1" applyNumberFormat="0" applyAlignment="0" applyProtection="0"/>
    <xf numFmtId="0" fontId="35" fillId="21" borderId="2" applyNumberFormat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0" borderId="3" applyNumberFormat="0" applyFill="0" applyAlignment="0" applyProtection="0"/>
    <xf numFmtId="0" fontId="39" fillId="0" borderId="4" applyNumberFormat="0" applyFill="0" applyAlignment="0" applyProtection="0"/>
    <xf numFmtId="0" fontId="40" fillId="0" borderId="5" applyNumberFormat="0" applyFill="0" applyAlignment="0" applyProtection="0"/>
    <xf numFmtId="0" fontId="40" fillId="0" borderId="0" applyNumberFormat="0" applyFill="0" applyBorder="0" applyAlignment="0" applyProtection="0"/>
    <xf numFmtId="0" fontId="41" fillId="7" borderId="1" applyNumberFormat="0" applyAlignment="0" applyProtection="0"/>
    <xf numFmtId="0" fontId="42" fillId="0" borderId="6" applyNumberFormat="0" applyFill="0" applyAlignment="0" applyProtection="0"/>
    <xf numFmtId="0" fontId="43" fillId="22" borderId="0" applyNumberFormat="0" applyBorder="0" applyAlignment="0" applyProtection="0"/>
    <xf numFmtId="0" fontId="30" fillId="0" borderId="0"/>
    <xf numFmtId="0" fontId="30" fillId="23" borderId="7" applyNumberFormat="0" applyAlignment="0" applyProtection="0"/>
    <xf numFmtId="0" fontId="44" fillId="20" borderId="8" applyNumberFormat="0" applyAlignment="0" applyProtection="0"/>
    <xf numFmtId="9" fontId="30" fillId="0" borderId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9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0">
      <alignment vertical="top"/>
    </xf>
    <xf numFmtId="0" fontId="49" fillId="0" borderId="0">
      <alignment vertical="top"/>
    </xf>
    <xf numFmtId="43" fontId="29" fillId="0" borderId="0" applyFont="0" applyFill="0" applyBorder="0" applyAlignment="0" applyProtection="0"/>
    <xf numFmtId="0" fontId="30" fillId="0" borderId="0"/>
    <xf numFmtId="166" fontId="30" fillId="0" borderId="0" applyFont="0" applyFill="0" applyAlignment="0" applyProtection="0"/>
    <xf numFmtId="164" fontId="30" fillId="0" borderId="0" applyFont="0" applyFill="0" applyBorder="0" applyAlignment="0" applyProtection="0"/>
    <xf numFmtId="0" fontId="50" fillId="0" borderId="0">
      <alignment vertical="top"/>
    </xf>
    <xf numFmtId="43" fontId="50" fillId="0" borderId="0" applyFont="0" applyFill="0" applyBorder="0" applyAlignment="0" applyProtection="0">
      <alignment vertical="top"/>
    </xf>
    <xf numFmtId="9" fontId="30" fillId="0" borderId="0" applyFont="0" applyFill="0" applyBorder="0" applyAlignment="0" applyProtection="0"/>
    <xf numFmtId="0" fontId="28" fillId="0" borderId="0"/>
    <xf numFmtId="0" fontId="51" fillId="0" borderId="0">
      <alignment vertical="top"/>
    </xf>
    <xf numFmtId="0" fontId="52" fillId="0" borderId="0">
      <alignment vertical="top"/>
    </xf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>
      <alignment vertical="top"/>
    </xf>
    <xf numFmtId="0" fontId="55" fillId="0" borderId="0">
      <alignment vertical="top"/>
    </xf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48" fillId="0" borderId="0">
      <alignment vertical="top"/>
    </xf>
    <xf numFmtId="0" fontId="25" fillId="0" borderId="0"/>
    <xf numFmtId="43" fontId="25" fillId="0" borderId="0" applyFont="0" applyFill="0" applyBorder="0" applyAlignment="0" applyProtection="0"/>
    <xf numFmtId="166" fontId="30" fillId="0" borderId="0" applyFont="0" applyFill="0" applyAlignment="0" applyProtection="0"/>
    <xf numFmtId="0" fontId="30" fillId="0" borderId="0"/>
    <xf numFmtId="0" fontId="56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4" fontId="56" fillId="0" borderId="0" applyFont="0" applyFill="0" applyBorder="0" applyAlignment="0" applyProtection="0"/>
    <xf numFmtId="0" fontId="57" fillId="0" borderId="0">
      <alignment vertical="top"/>
    </xf>
    <xf numFmtId="0" fontId="56" fillId="0" borderId="0"/>
    <xf numFmtId="0" fontId="58" fillId="0" borderId="0" applyNumberFormat="0" applyFill="0" applyBorder="0" applyAlignment="0" applyProtection="0"/>
    <xf numFmtId="0" fontId="56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8" fillId="0" borderId="0">
      <alignment vertical="top"/>
    </xf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8" fillId="0" borderId="0">
      <alignment vertical="top"/>
    </xf>
    <xf numFmtId="43" fontId="48" fillId="0" borderId="0" applyFont="0" applyFill="0" applyBorder="0" applyAlignment="0" applyProtection="0">
      <alignment vertical="top"/>
    </xf>
    <xf numFmtId="0" fontId="24" fillId="0" borderId="0"/>
    <xf numFmtId="0" fontId="48" fillId="0" borderId="0">
      <alignment vertical="top"/>
    </xf>
    <xf numFmtId="0" fontId="48" fillId="0" borderId="0">
      <alignment vertical="top"/>
    </xf>
    <xf numFmtId="43" fontId="53" fillId="0" borderId="0" applyFont="0" applyFill="0" applyBorder="0" applyAlignment="0" applyProtection="0"/>
    <xf numFmtId="0" fontId="48" fillId="0" borderId="0">
      <alignment vertical="top"/>
    </xf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48" fillId="0" borderId="0">
      <alignment vertical="top"/>
    </xf>
    <xf numFmtId="0" fontId="53" fillId="0" borderId="0"/>
    <xf numFmtId="164" fontId="5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59" fillId="0" borderId="0">
      <alignment vertical="top"/>
    </xf>
    <xf numFmtId="43" fontId="24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top"/>
    </xf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2" fillId="0" borderId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48" fillId="0" borderId="0" applyFont="0" applyFill="0" applyBorder="0" applyAlignment="0" applyProtection="0">
      <alignment vertical="top"/>
    </xf>
    <xf numFmtId="43" fontId="5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48" fillId="0" borderId="0">
      <alignment vertical="top"/>
    </xf>
    <xf numFmtId="0" fontId="53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48" fillId="0" borderId="0">
      <alignment vertical="top"/>
    </xf>
    <xf numFmtId="0" fontId="1" fillId="0" borderId="0"/>
    <xf numFmtId="0" fontId="53" fillId="0" borderId="0"/>
  </cellStyleXfs>
  <cellXfs count="184">
    <xf numFmtId="0" fontId="0" fillId="0" borderId="0" xfId="0"/>
    <xf numFmtId="166" fontId="30" fillId="0" borderId="0" xfId="1" applyNumberFormat="1" applyFont="1" applyFill="1" applyBorder="1" applyAlignment="1" applyProtection="1"/>
    <xf numFmtId="165" fontId="61" fillId="0" borderId="0" xfId="2" applyNumberFormat="1" applyFont="1" applyFill="1" applyBorder="1" applyAlignment="1">
      <alignment horizontal="left"/>
    </xf>
    <xf numFmtId="166" fontId="61" fillId="0" borderId="0" xfId="1" applyFont="1" applyFill="1" applyBorder="1" applyAlignment="1" applyProtection="1"/>
    <xf numFmtId="0" fontId="61" fillId="0" borderId="0" xfId="2" applyFont="1" applyFill="1" applyBorder="1"/>
    <xf numFmtId="0" fontId="30" fillId="0" borderId="0" xfId="0" applyFont="1" applyFill="1" applyBorder="1"/>
    <xf numFmtId="0" fontId="30" fillId="0" borderId="0" xfId="0" applyFont="1" applyFill="1" applyBorder="1" applyAlignment="1">
      <alignment horizontal="center"/>
    </xf>
    <xf numFmtId="166" fontId="30" fillId="0" borderId="0" xfId="1" applyFont="1" applyFill="1" applyBorder="1" applyAlignment="1" applyProtection="1"/>
    <xf numFmtId="0" fontId="30" fillId="0" borderId="0" xfId="0" applyFont="1" applyFill="1"/>
    <xf numFmtId="165" fontId="30" fillId="0" borderId="0" xfId="0" applyNumberFormat="1" applyFont="1" applyFill="1" applyAlignment="1">
      <alignment horizontal="left"/>
    </xf>
    <xf numFmtId="0" fontId="30" fillId="0" borderId="0" xfId="0" applyFont="1" applyFill="1" applyAlignment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horizontal="center"/>
    </xf>
    <xf numFmtId="166" fontId="30" fillId="0" borderId="0" xfId="1" applyFont="1" applyFill="1" applyBorder="1" applyAlignment="1" applyProtection="1">
      <alignment horizontal="center"/>
    </xf>
    <xf numFmtId="166" fontId="30" fillId="0" borderId="0" xfId="1" applyFont="1" applyFill="1" applyAlignment="1">
      <alignment horizontal="left"/>
    </xf>
    <xf numFmtId="166" fontId="30" fillId="0" borderId="0" xfId="1" applyFont="1" applyFill="1"/>
    <xf numFmtId="0" fontId="61" fillId="0" borderId="0" xfId="0" applyNumberFormat="1" applyFont="1" applyFill="1" applyAlignment="1">
      <alignment horizontal="center"/>
    </xf>
    <xf numFmtId="0" fontId="61" fillId="0" borderId="0" xfId="0" applyFont="1" applyFill="1" applyAlignment="1">
      <alignment horizontal="center"/>
    </xf>
    <xf numFmtId="0" fontId="61" fillId="0" borderId="0" xfId="0" applyFont="1" applyFill="1"/>
    <xf numFmtId="0" fontId="60" fillId="0" borderId="0" xfId="0" applyFont="1" applyFill="1" applyBorder="1" applyAlignment="1">
      <alignment horizontal="center"/>
    </xf>
    <xf numFmtId="166" fontId="60" fillId="0" borderId="0" xfId="1" applyFont="1" applyFill="1" applyBorder="1" applyAlignment="1" applyProtection="1">
      <alignment horizontal="right"/>
    </xf>
    <xf numFmtId="165" fontId="60" fillId="0" borderId="0" xfId="0" applyNumberFormat="1" applyFont="1" applyFill="1" applyBorder="1" applyAlignment="1">
      <alignment horizontal="center"/>
    </xf>
    <xf numFmtId="0" fontId="60" fillId="0" borderId="0" xfId="0" applyFont="1" applyFill="1" applyBorder="1" applyAlignment="1">
      <alignment horizontal="left"/>
    </xf>
    <xf numFmtId="166" fontId="30" fillId="0" borderId="0" xfId="1" applyFont="1" applyFill="1" applyBorder="1"/>
    <xf numFmtId="165" fontId="30" fillId="0" borderId="0" xfId="0" applyNumberFormat="1" applyFont="1" applyFill="1" applyBorder="1" applyAlignment="1">
      <alignment horizontal="center"/>
    </xf>
    <xf numFmtId="166" fontId="30" fillId="0" borderId="0" xfId="1" applyFont="1" applyFill="1" applyBorder="1" applyAlignment="1" applyProtection="1">
      <alignment horizontal="right"/>
    </xf>
    <xf numFmtId="0" fontId="60" fillId="0" borderId="0" xfId="0" quotePrefix="1" applyNumberFormat="1" applyFont="1" applyFill="1" applyBorder="1" applyAlignment="1">
      <alignment horizontal="center"/>
    </xf>
    <xf numFmtId="166" fontId="60" fillId="0" borderId="0" xfId="1" applyFont="1" applyFill="1" applyBorder="1" applyAlignment="1" applyProtection="1"/>
    <xf numFmtId="166" fontId="60" fillId="0" borderId="0" xfId="1" applyFont="1" applyFill="1" applyBorder="1" applyAlignment="1">
      <alignment horizontal="center"/>
    </xf>
    <xf numFmtId="0" fontId="60" fillId="0" borderId="0" xfId="0" applyNumberFormat="1" applyFont="1" applyFill="1" applyBorder="1" applyAlignment="1">
      <alignment horizontal="center"/>
    </xf>
    <xf numFmtId="2" fontId="60" fillId="0" borderId="0" xfId="0" applyNumberFormat="1" applyFont="1" applyFill="1" applyBorder="1" applyAlignment="1">
      <alignment horizontal="center"/>
    </xf>
    <xf numFmtId="4" fontId="60" fillId="0" borderId="0" xfId="1" applyNumberFormat="1" applyFont="1" applyFill="1" applyBorder="1" applyAlignment="1" applyProtection="1"/>
    <xf numFmtId="166" fontId="60" fillId="0" borderId="0" xfId="1" applyNumberFormat="1" applyFont="1" applyFill="1" applyBorder="1" applyAlignment="1" applyProtection="1"/>
    <xf numFmtId="166" fontId="30" fillId="0" borderId="0" xfId="1" applyFont="1" applyFill="1" applyAlignment="1">
      <alignment horizontal="center"/>
    </xf>
    <xf numFmtId="165" fontId="30" fillId="0" borderId="0" xfId="0" applyNumberFormat="1" applyFont="1" applyFill="1" applyAlignment="1">
      <alignment horizontal="center"/>
    </xf>
    <xf numFmtId="166" fontId="30" fillId="0" borderId="0" xfId="1" applyFont="1" applyFill="1" applyAlignment="1">
      <alignment horizontal="center" vertical="top"/>
    </xf>
    <xf numFmtId="0" fontId="30" fillId="0" borderId="0" xfId="1" applyNumberFormat="1" applyFont="1" applyFill="1" applyBorder="1"/>
    <xf numFmtId="166" fontId="30" fillId="0" borderId="0" xfId="1" applyFont="1" applyFill="1" applyBorder="1" applyAlignment="1">
      <alignment horizontal="center"/>
    </xf>
    <xf numFmtId="166" fontId="61" fillId="0" borderId="0" xfId="1" applyFont="1" applyFill="1"/>
    <xf numFmtId="49" fontId="30" fillId="0" borderId="0" xfId="0" applyNumberFormat="1" applyFont="1" applyFill="1" applyAlignment="1">
      <alignment horizontal="center"/>
    </xf>
    <xf numFmtId="14" fontId="61" fillId="0" borderId="0" xfId="0" applyNumberFormat="1" applyFont="1" applyFill="1" applyAlignment="1">
      <alignment horizontal="center"/>
    </xf>
    <xf numFmtId="2" fontId="30" fillId="0" borderId="0" xfId="0" applyNumberFormat="1" applyFont="1" applyFill="1" applyBorder="1" applyAlignment="1">
      <alignment horizontal="center"/>
    </xf>
    <xf numFmtId="14" fontId="61" fillId="0" borderId="0" xfId="0" applyNumberFormat="1" applyFont="1" applyFill="1" applyAlignment="1"/>
    <xf numFmtId="166" fontId="61" fillId="0" borderId="0" xfId="0" applyNumberFormat="1" applyFont="1" applyFill="1" applyAlignment="1">
      <alignment horizontal="center"/>
    </xf>
    <xf numFmtId="2" fontId="30" fillId="0" borderId="0" xfId="0" applyNumberFormat="1" applyFont="1" applyFill="1" applyAlignment="1">
      <alignment horizontal="center"/>
    </xf>
    <xf numFmtId="1" fontId="30" fillId="0" borderId="0" xfId="1" applyNumberFormat="1" applyFont="1" applyFill="1" applyBorder="1" applyAlignment="1" applyProtection="1">
      <alignment horizontal="right"/>
    </xf>
    <xf numFmtId="49" fontId="61" fillId="0" borderId="0" xfId="0" applyNumberFormat="1" applyFont="1" applyFill="1" applyAlignment="1">
      <alignment horizontal="center"/>
    </xf>
    <xf numFmtId="166" fontId="61" fillId="0" borderId="0" xfId="1" applyFont="1" applyFill="1" applyAlignment="1">
      <alignment horizontal="center"/>
    </xf>
    <xf numFmtId="166" fontId="61" fillId="0" borderId="0" xfId="1" applyFont="1" applyFill="1" applyAlignment="1">
      <alignment horizontal="left"/>
    </xf>
    <xf numFmtId="166" fontId="61" fillId="0" borderId="0" xfId="1" applyFont="1" applyFill="1" applyBorder="1" applyAlignment="1" applyProtection="1">
      <alignment horizontal="right"/>
    </xf>
    <xf numFmtId="165" fontId="30" fillId="0" borderId="0" xfId="1" applyNumberFormat="1" applyFont="1" applyFill="1" applyAlignment="1">
      <alignment horizontal="left"/>
    </xf>
    <xf numFmtId="165" fontId="30" fillId="0" borderId="0" xfId="1" applyNumberFormat="1" applyFont="1" applyFill="1" applyBorder="1" applyAlignment="1" applyProtection="1">
      <alignment horizontal="center"/>
    </xf>
    <xf numFmtId="43" fontId="61" fillId="0" borderId="0" xfId="0" applyNumberFormat="1" applyFont="1" applyFill="1" applyAlignment="1">
      <alignment horizontal="center"/>
    </xf>
    <xf numFmtId="49" fontId="30" fillId="0" borderId="0" xfId="1" applyNumberFormat="1" applyFont="1" applyFill="1" applyBorder="1" applyAlignment="1">
      <alignment horizontal="center"/>
    </xf>
    <xf numFmtId="165" fontId="61" fillId="0" borderId="0" xfId="0" applyNumberFormat="1" applyFont="1" applyFill="1" applyAlignment="1">
      <alignment horizontal="center"/>
    </xf>
    <xf numFmtId="0" fontId="61" fillId="0" borderId="0" xfId="0" applyFont="1" applyFill="1" applyAlignment="1">
      <alignment horizontal="left"/>
    </xf>
    <xf numFmtId="2" fontId="61" fillId="0" borderId="0" xfId="0" applyNumberFormat="1" applyFont="1" applyFill="1" applyAlignment="1">
      <alignment horizontal="center"/>
    </xf>
    <xf numFmtId="166" fontId="61" fillId="0" borderId="0" xfId="0" applyNumberFormat="1" applyFont="1" applyFill="1"/>
    <xf numFmtId="167" fontId="30" fillId="0" borderId="0" xfId="0" quotePrefix="1" applyNumberFormat="1" applyFont="1" applyFill="1" applyBorder="1" applyAlignment="1" applyProtection="1"/>
    <xf numFmtId="166" fontId="30" fillId="0" borderId="0" xfId="1" quotePrefix="1" applyFont="1" applyFill="1" applyBorder="1" applyAlignment="1" applyProtection="1"/>
    <xf numFmtId="167" fontId="30" fillId="0" borderId="0" xfId="0" quotePrefix="1" applyNumberFormat="1" applyFont="1" applyFill="1" applyBorder="1" applyAlignment="1" applyProtection="1">
      <alignment horizontal="center"/>
    </xf>
    <xf numFmtId="165" fontId="30" fillId="0" borderId="0" xfId="0" quotePrefix="1" applyNumberFormat="1" applyFont="1" applyFill="1" applyBorder="1" applyAlignment="1" applyProtection="1">
      <alignment horizontal="center"/>
    </xf>
    <xf numFmtId="166" fontId="30" fillId="0" borderId="0" xfId="1" quotePrefix="1" applyFont="1" applyFill="1" applyBorder="1" applyAlignment="1" applyProtection="1">
      <alignment horizontal="center"/>
    </xf>
    <xf numFmtId="49" fontId="30" fillId="0" borderId="0" xfId="0" quotePrefix="1" applyNumberFormat="1" applyFont="1" applyFill="1" applyBorder="1" applyAlignment="1" applyProtection="1">
      <alignment horizontal="center"/>
    </xf>
    <xf numFmtId="165" fontId="30" fillId="0" borderId="0" xfId="0" applyNumberFormat="1" applyFont="1" applyFill="1" applyBorder="1" applyAlignment="1" applyProtection="1">
      <alignment horizontal="center"/>
    </xf>
    <xf numFmtId="0" fontId="30" fillId="0" borderId="0" xfId="0" applyFont="1" applyFill="1" applyBorder="1" applyAlignment="1">
      <alignment horizontal="left"/>
    </xf>
    <xf numFmtId="0" fontId="30" fillId="0" borderId="0" xfId="0" applyFont="1" applyFill="1" applyBorder="1" applyAlignment="1" applyProtection="1">
      <alignment horizontal="center"/>
    </xf>
    <xf numFmtId="49" fontId="30" fillId="0" borderId="0" xfId="0" applyNumberFormat="1" applyFont="1" applyFill="1" applyBorder="1" applyAlignment="1" applyProtection="1">
      <alignment horizontal="center"/>
    </xf>
    <xf numFmtId="2" fontId="30" fillId="0" borderId="0" xfId="0" applyNumberFormat="1" applyFont="1" applyFill="1" applyBorder="1" applyAlignment="1" applyProtection="1">
      <alignment horizontal="center"/>
    </xf>
    <xf numFmtId="167" fontId="30" fillId="0" borderId="0" xfId="0" applyNumberFormat="1" applyFont="1" applyFill="1" applyBorder="1" applyAlignment="1" applyProtection="1">
      <alignment horizontal="center"/>
    </xf>
    <xf numFmtId="167" fontId="30" fillId="0" borderId="0" xfId="0" applyNumberFormat="1" applyFont="1" applyFill="1" applyBorder="1" applyAlignment="1" applyProtection="1">
      <alignment horizontal="left"/>
    </xf>
    <xf numFmtId="39" fontId="30" fillId="0" borderId="0" xfId="0" quotePrefix="1" applyNumberFormat="1" applyFont="1" applyFill="1" applyBorder="1" applyAlignment="1" applyProtection="1">
      <alignment horizontal="center"/>
    </xf>
    <xf numFmtId="9" fontId="30" fillId="0" borderId="0" xfId="57" applyFont="1" applyFill="1" applyBorder="1" applyAlignment="1" applyProtection="1">
      <alignment horizontal="center"/>
    </xf>
    <xf numFmtId="166" fontId="30" fillId="0" borderId="0" xfId="1" applyNumberFormat="1" applyFont="1" applyFill="1" applyBorder="1" applyAlignment="1" applyProtection="1">
      <alignment horizontal="center"/>
    </xf>
    <xf numFmtId="165" fontId="30" fillId="0" borderId="0" xfId="1" applyNumberFormat="1" applyFont="1" applyFill="1" applyBorder="1" applyAlignment="1">
      <alignment horizontal="center"/>
    </xf>
    <xf numFmtId="165" fontId="0" fillId="0" borderId="0" xfId="0" applyNumberFormat="1" applyFont="1" applyFill="1" applyAlignment="1">
      <alignment horizontal="center" vertical="top" wrapText="1"/>
    </xf>
    <xf numFmtId="2" fontId="30" fillId="0" borderId="0" xfId="0" applyNumberFormat="1" applyFont="1" applyFill="1" applyBorder="1" applyAlignment="1">
      <alignment horizontal="left"/>
    </xf>
    <xf numFmtId="2" fontId="30" fillId="0" borderId="0" xfId="0" applyNumberFormat="1" applyFont="1" applyFill="1" applyAlignment="1">
      <alignment horizontal="left"/>
    </xf>
    <xf numFmtId="2" fontId="61" fillId="0" borderId="0" xfId="0" applyNumberFormat="1" applyFont="1" applyFill="1" applyAlignment="1">
      <alignment horizontal="left"/>
    </xf>
    <xf numFmtId="167" fontId="30" fillId="0" borderId="0" xfId="0" applyNumberFormat="1" applyFont="1" applyFill="1" applyBorder="1" applyAlignment="1">
      <alignment horizontal="left"/>
    </xf>
    <xf numFmtId="39" fontId="30" fillId="0" borderId="0" xfId="0" applyNumberFormat="1" applyFont="1" applyFill="1" applyBorder="1" applyAlignment="1" applyProtection="1">
      <alignment horizontal="center"/>
    </xf>
    <xf numFmtId="166" fontId="30" fillId="24" borderId="0" xfId="1" applyFont="1" applyFill="1" applyAlignment="1">
      <alignment horizontal="center"/>
    </xf>
    <xf numFmtId="0" fontId="30" fillId="24" borderId="0" xfId="0" applyFont="1" applyFill="1" applyBorder="1" applyAlignment="1">
      <alignment horizontal="center"/>
    </xf>
    <xf numFmtId="166" fontId="0" fillId="24" borderId="0" xfId="1" applyFont="1" applyFill="1" applyBorder="1" applyAlignment="1" applyProtection="1">
      <alignment horizontal="right"/>
    </xf>
    <xf numFmtId="166" fontId="30" fillId="24" borderId="0" xfId="1" applyFont="1" applyFill="1" applyBorder="1" applyAlignment="1" applyProtection="1"/>
    <xf numFmtId="165" fontId="30" fillId="24" borderId="0" xfId="0" applyNumberFormat="1" applyFont="1" applyFill="1" applyAlignment="1">
      <alignment horizontal="center"/>
    </xf>
    <xf numFmtId="166" fontId="0" fillId="24" borderId="0" xfId="1" applyFont="1" applyFill="1" applyAlignment="1">
      <alignment horizontal="right"/>
    </xf>
    <xf numFmtId="166" fontId="61" fillId="24" borderId="0" xfId="0" applyNumberFormat="1" applyFont="1" applyFill="1" applyAlignment="1">
      <alignment horizontal="center"/>
    </xf>
    <xf numFmtId="166" fontId="30" fillId="24" borderId="0" xfId="1" applyFont="1" applyFill="1" applyBorder="1" applyAlignment="1" applyProtection="1">
      <alignment horizontal="right"/>
    </xf>
    <xf numFmtId="166" fontId="30" fillId="24" borderId="0" xfId="1" applyFont="1" applyFill="1" applyBorder="1" applyAlignment="1" applyProtection="1">
      <alignment horizontal="left"/>
    </xf>
    <xf numFmtId="166" fontId="30" fillId="24" borderId="0" xfId="0" applyNumberFormat="1" applyFont="1" applyFill="1"/>
    <xf numFmtId="166" fontId="30" fillId="24" borderId="0" xfId="1" applyFont="1" applyFill="1" applyBorder="1" applyAlignment="1" applyProtection="1">
      <alignment horizontal="center"/>
    </xf>
    <xf numFmtId="166" fontId="0" fillId="24" borderId="0" xfId="1" applyFont="1" applyFill="1" applyBorder="1" applyAlignment="1" applyProtection="1">
      <alignment horizontal="center"/>
    </xf>
    <xf numFmtId="165" fontId="30" fillId="24" borderId="0" xfId="1" applyNumberFormat="1" applyFont="1" applyFill="1" applyBorder="1" applyAlignment="1">
      <alignment horizontal="left"/>
    </xf>
    <xf numFmtId="166" fontId="30" fillId="24" borderId="0" xfId="1" applyFont="1" applyFill="1" applyBorder="1"/>
    <xf numFmtId="166" fontId="60" fillId="0" borderId="0" xfId="1" applyFont="1" applyFill="1" applyBorder="1" applyAlignment="1"/>
    <xf numFmtId="165" fontId="60" fillId="0" borderId="0" xfId="0" applyNumberFormat="1" applyFont="1" applyFill="1" applyAlignment="1">
      <alignment horizontal="center" vertical="top" wrapText="1"/>
    </xf>
    <xf numFmtId="0" fontId="30" fillId="0" borderId="0" xfId="0" applyNumberFormat="1" applyFont="1" applyFill="1"/>
    <xf numFmtId="0" fontId="61" fillId="0" borderId="0" xfId="0" applyNumberFormat="1" applyFont="1" applyFill="1"/>
    <xf numFmtId="0" fontId="30" fillId="0" borderId="0" xfId="0" quotePrefix="1" applyNumberFormat="1" applyFont="1" applyFill="1" applyBorder="1" applyAlignment="1" applyProtection="1">
      <alignment horizontal="center"/>
    </xf>
    <xf numFmtId="0" fontId="30" fillId="0" borderId="0" xfId="1" applyNumberFormat="1" applyFont="1" applyFill="1" applyBorder="1" applyAlignment="1">
      <alignment horizontal="center"/>
    </xf>
    <xf numFmtId="167" fontId="0" fillId="0" borderId="0" xfId="0" quotePrefix="1" applyNumberFormat="1" applyFont="1" applyFill="1" applyBorder="1" applyAlignment="1" applyProtection="1">
      <alignment horizontal="left"/>
    </xf>
    <xf numFmtId="166" fontId="61" fillId="24" borderId="0" xfId="1" applyFont="1" applyFill="1" applyBorder="1" applyAlignment="1" applyProtection="1">
      <alignment horizontal="right"/>
    </xf>
    <xf numFmtId="0" fontId="60" fillId="0" borderId="0" xfId="0" applyFont="1" applyFill="1" applyAlignment="1">
      <alignment vertical="center"/>
    </xf>
    <xf numFmtId="0" fontId="60" fillId="0" borderId="0" xfId="0" applyNumberFormat="1" applyFont="1" applyFill="1" applyAlignment="1">
      <alignment horizontal="center" vertical="top" wrapText="1"/>
    </xf>
    <xf numFmtId="166" fontId="30" fillId="0" borderId="0" xfId="0" applyNumberFormat="1" applyFont="1" applyFill="1"/>
    <xf numFmtId="166" fontId="61" fillId="24" borderId="0" xfId="1" applyFont="1" applyFill="1" applyBorder="1" applyAlignment="1" applyProtection="1"/>
    <xf numFmtId="165" fontId="61" fillId="24" borderId="0" xfId="0" applyNumberFormat="1" applyFont="1" applyFill="1" applyAlignment="1">
      <alignment horizontal="center"/>
    </xf>
    <xf numFmtId="166" fontId="61" fillId="24" borderId="0" xfId="1" applyFont="1" applyFill="1" applyBorder="1" applyAlignment="1" applyProtection="1">
      <alignment horizontal="left"/>
    </xf>
    <xf numFmtId="166" fontId="60" fillId="0" borderId="0" xfId="1" applyFont="1" applyFill="1" applyBorder="1" applyAlignment="1" applyProtection="1">
      <alignment horizontal="center"/>
    </xf>
    <xf numFmtId="0" fontId="60" fillId="0" borderId="0" xfId="0" applyNumberFormat="1" applyFont="1" applyFill="1" applyAlignment="1">
      <alignment horizontal="center"/>
    </xf>
    <xf numFmtId="0" fontId="60" fillId="0" borderId="0" xfId="0" applyFont="1" applyFill="1"/>
    <xf numFmtId="0" fontId="60" fillId="0" borderId="0" xfId="0" applyFont="1" applyFill="1" applyBorder="1" applyAlignment="1">
      <alignment vertical="center"/>
    </xf>
    <xf numFmtId="166" fontId="60" fillId="0" borderId="0" xfId="1" applyFont="1" applyFill="1"/>
    <xf numFmtId="165" fontId="60" fillId="0" borderId="0" xfId="1" applyNumberFormat="1" applyFont="1" applyFill="1" applyAlignment="1">
      <alignment horizontal="center"/>
    </xf>
    <xf numFmtId="49" fontId="60" fillId="0" borderId="0" xfId="0" applyNumberFormat="1" applyFont="1" applyFill="1" applyBorder="1" applyAlignment="1">
      <alignment horizontal="center"/>
    </xf>
    <xf numFmtId="0" fontId="60" fillId="0" borderId="0" xfId="0" applyFont="1" applyFill="1" applyBorder="1" applyAlignment="1">
      <alignment horizontal="center" vertical="center"/>
    </xf>
    <xf numFmtId="166" fontId="30" fillId="0" borderId="0" xfId="1" applyFont="1" applyFill="1" applyBorder="1" applyAlignment="1" applyProtection="1">
      <alignment horizontal="left"/>
    </xf>
    <xf numFmtId="165" fontId="60" fillId="0" borderId="0" xfId="0" applyNumberFormat="1" applyFont="1" applyFill="1" applyBorder="1" applyAlignment="1">
      <alignment horizontal="center" vertical="center"/>
    </xf>
    <xf numFmtId="0" fontId="60" fillId="0" borderId="0" xfId="0" applyFont="1" applyFill="1" applyBorder="1" applyAlignment="1">
      <alignment horizontal="left" vertical="center"/>
    </xf>
    <xf numFmtId="166" fontId="60" fillId="0" borderId="0" xfId="1" applyFont="1" applyFill="1" applyBorder="1" applyAlignment="1">
      <alignment vertical="center"/>
    </xf>
    <xf numFmtId="0" fontId="60" fillId="0" borderId="0" xfId="0" applyNumberFormat="1" applyFont="1" applyFill="1" applyAlignment="1">
      <alignment horizontal="center" vertical="center" wrapText="1"/>
    </xf>
    <xf numFmtId="0" fontId="60" fillId="0" borderId="0" xfId="0" quotePrefix="1" applyNumberFormat="1" applyFont="1" applyFill="1" applyBorder="1" applyAlignment="1">
      <alignment horizontal="center" vertical="center"/>
    </xf>
    <xf numFmtId="49" fontId="60" fillId="0" borderId="0" xfId="0" applyNumberFormat="1" applyFont="1" applyFill="1" applyBorder="1" applyAlignment="1">
      <alignment horizontal="center" vertical="center"/>
    </xf>
    <xf numFmtId="166" fontId="60" fillId="0" borderId="0" xfId="1" applyFont="1" applyFill="1" applyBorder="1" applyAlignment="1" applyProtection="1">
      <alignment horizontal="center" vertical="center"/>
    </xf>
    <xf numFmtId="165" fontId="60" fillId="0" borderId="0" xfId="0" applyNumberFormat="1" applyFont="1" applyFill="1" applyAlignment="1">
      <alignment horizontal="center" vertical="center" wrapText="1"/>
    </xf>
    <xf numFmtId="166" fontId="60" fillId="0" borderId="0" xfId="1" applyFont="1" applyFill="1" applyBorder="1" applyAlignment="1" applyProtection="1">
      <alignment horizontal="right" vertical="center"/>
    </xf>
    <xf numFmtId="166" fontId="60" fillId="0" borderId="0" xfId="1" applyFont="1" applyFill="1" applyBorder="1" applyAlignment="1" applyProtection="1">
      <alignment vertical="center"/>
    </xf>
    <xf numFmtId="166" fontId="60" fillId="0" borderId="0" xfId="1" applyFont="1" applyFill="1" applyBorder="1" applyAlignment="1">
      <alignment horizontal="center" vertical="center"/>
    </xf>
    <xf numFmtId="165" fontId="60" fillId="0" borderId="0" xfId="1" applyNumberFormat="1" applyFont="1" applyFill="1" applyBorder="1" applyAlignment="1">
      <alignment horizontal="center" vertical="center"/>
    </xf>
    <xf numFmtId="0" fontId="60" fillId="0" borderId="0" xfId="0" applyNumberFormat="1" applyFont="1" applyFill="1" applyBorder="1" applyAlignment="1">
      <alignment horizontal="center" vertical="center"/>
    </xf>
    <xf numFmtId="2" fontId="60" fillId="0" borderId="0" xfId="0" applyNumberFormat="1" applyFont="1" applyFill="1" applyBorder="1" applyAlignment="1">
      <alignment horizontal="center" vertical="center"/>
    </xf>
    <xf numFmtId="4" fontId="60" fillId="0" borderId="0" xfId="1" applyNumberFormat="1" applyFont="1" applyFill="1" applyBorder="1" applyAlignment="1" applyProtection="1">
      <alignment vertical="center"/>
    </xf>
    <xf numFmtId="166" fontId="60" fillId="0" borderId="0" xfId="1" applyNumberFormat="1" applyFont="1" applyFill="1" applyBorder="1" applyAlignment="1" applyProtection="1">
      <alignment vertical="center"/>
    </xf>
    <xf numFmtId="0" fontId="60" fillId="0" borderId="0" xfId="0" applyFont="1" applyFill="1" applyAlignment="1">
      <alignment horizontal="center"/>
    </xf>
    <xf numFmtId="165" fontId="60" fillId="0" borderId="0" xfId="0" applyNumberFormat="1" applyFont="1" applyFill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49" fontId="60" fillId="0" borderId="0" xfId="0" applyNumberFormat="1" applyFont="1" applyFill="1" applyAlignment="1">
      <alignment horizontal="center" vertical="center"/>
    </xf>
    <xf numFmtId="166" fontId="60" fillId="0" borderId="0" xfId="1" applyFont="1" applyFill="1" applyAlignment="1">
      <alignment horizontal="center" vertical="center"/>
    </xf>
    <xf numFmtId="166" fontId="60" fillId="0" borderId="0" xfId="1" applyFont="1" applyFill="1" applyAlignment="1">
      <alignment vertical="center"/>
    </xf>
    <xf numFmtId="165" fontId="60" fillId="0" borderId="0" xfId="1" applyNumberFormat="1" applyFont="1" applyFill="1" applyAlignment="1">
      <alignment horizontal="center" vertical="center"/>
    </xf>
    <xf numFmtId="2" fontId="60" fillId="0" borderId="0" xfId="0" applyNumberFormat="1" applyFont="1" applyFill="1" applyAlignment="1">
      <alignment horizontal="center" vertical="center"/>
    </xf>
    <xf numFmtId="0" fontId="60" fillId="0" borderId="0" xfId="0" applyNumberFormat="1" applyFont="1" applyFill="1" applyAlignment="1">
      <alignment horizontal="center" vertical="center"/>
    </xf>
    <xf numFmtId="0" fontId="60" fillId="0" borderId="0" xfId="0" applyFont="1" applyFill="1" applyAlignment="1">
      <alignment horizontal="center" vertical="center" wrapText="1"/>
    </xf>
    <xf numFmtId="0" fontId="60" fillId="0" borderId="0" xfId="0" applyFont="1" applyFill="1" applyAlignment="1">
      <alignment horizontal="left" vertical="center"/>
    </xf>
    <xf numFmtId="49" fontId="60" fillId="0" borderId="0" xfId="1" applyNumberFormat="1" applyFont="1" applyFill="1" applyBorder="1" applyAlignment="1" applyProtection="1">
      <alignment horizontal="center" vertical="center"/>
    </xf>
    <xf numFmtId="165" fontId="60" fillId="0" borderId="0" xfId="1" applyNumberFormat="1" applyFont="1" applyFill="1" applyBorder="1" applyAlignment="1" applyProtection="1">
      <alignment horizontal="center" vertical="center"/>
    </xf>
    <xf numFmtId="2" fontId="60" fillId="0" borderId="0" xfId="1" applyNumberFormat="1" applyFont="1" applyFill="1" applyBorder="1" applyAlignment="1" applyProtection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60" fillId="0" borderId="0" xfId="0" applyNumberFormat="1" applyFont="1" applyAlignment="1">
      <alignment horizontal="center" vertical="center" wrapText="1"/>
    </xf>
    <xf numFmtId="0" fontId="60" fillId="0" borderId="0" xfId="0" applyFont="1"/>
    <xf numFmtId="0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166" fontId="30" fillId="0" borderId="0" xfId="1" applyFont="1" applyFill="1" applyBorder="1" applyAlignment="1">
      <alignment horizontal="left"/>
    </xf>
    <xf numFmtId="43" fontId="30" fillId="0" borderId="0" xfId="0" applyNumberFormat="1" applyFont="1" applyFill="1" applyAlignment="1">
      <alignment horizontal="center"/>
    </xf>
    <xf numFmtId="166" fontId="30" fillId="0" borderId="0" xfId="0" applyNumberFormat="1" applyFont="1" applyFill="1" applyAlignment="1">
      <alignment horizontal="center"/>
    </xf>
    <xf numFmtId="166" fontId="61" fillId="0" borderId="0" xfId="1" applyFont="1" applyFill="1" applyBorder="1"/>
    <xf numFmtId="167" fontId="30" fillId="0" borderId="0" xfId="0" applyNumberFormat="1" applyFont="1" applyFill="1" applyBorder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vertical="center"/>
    </xf>
    <xf numFmtId="165" fontId="30" fillId="0" borderId="0" xfId="0" applyNumberFormat="1" applyFont="1" applyFill="1" applyAlignment="1">
      <alignment horizontal="center" vertical="top" wrapText="1"/>
    </xf>
    <xf numFmtId="165" fontId="30" fillId="0" borderId="0" xfId="1" applyNumberFormat="1" applyFont="1" applyFill="1" applyAlignment="1">
      <alignment horizontal="center"/>
    </xf>
    <xf numFmtId="165" fontId="30" fillId="0" borderId="0" xfId="1" applyNumberFormat="1" applyFont="1" applyFill="1"/>
    <xf numFmtId="0" fontId="30" fillId="0" borderId="0" xfId="0" applyFont="1" applyFill="1" applyAlignment="1">
      <alignment horizontal="left" vertical="center"/>
    </xf>
    <xf numFmtId="0" fontId="30" fillId="0" borderId="0" xfId="0" applyNumberFormat="1" applyFont="1" applyFill="1" applyAlignment="1">
      <alignment horizontal="center" vertical="top" wrapText="1"/>
    </xf>
    <xf numFmtId="0" fontId="30" fillId="0" borderId="0" xfId="0" quotePrefix="1" applyNumberFormat="1" applyFont="1" applyFill="1" applyAlignment="1">
      <alignment horizontal="center"/>
    </xf>
    <xf numFmtId="0" fontId="30" fillId="0" borderId="0" xfId="0" applyNumberFormat="1" applyFont="1" applyFill="1" applyAlignment="1">
      <alignment horizontal="center"/>
    </xf>
    <xf numFmtId="4" fontId="30" fillId="0" borderId="0" xfId="1" applyNumberFormat="1" applyFont="1" applyFill="1" applyBorder="1" applyAlignment="1" applyProtection="1"/>
    <xf numFmtId="0" fontId="60" fillId="0" borderId="0" xfId="0" quotePrefix="1" applyNumberFormat="1" applyFont="1" applyFill="1" applyAlignment="1">
      <alignment horizontal="center" vertical="center"/>
    </xf>
    <xf numFmtId="2" fontId="30" fillId="0" borderId="0" xfId="1" applyNumberFormat="1" applyFont="1" applyFill="1" applyAlignment="1">
      <alignment horizontal="center"/>
    </xf>
    <xf numFmtId="0" fontId="30" fillId="0" borderId="0" xfId="0" quotePrefix="1" applyNumberFormat="1" applyFont="1" applyFill="1" applyBorder="1" applyAlignment="1">
      <alignment horizontal="center"/>
    </xf>
    <xf numFmtId="1" fontId="30" fillId="0" borderId="0" xfId="0" applyNumberFormat="1" applyFont="1" applyFill="1" applyAlignment="1">
      <alignment horizontal="center"/>
    </xf>
    <xf numFmtId="0" fontId="30" fillId="0" borderId="0" xfId="0" applyNumberFormat="1" applyFont="1" applyFill="1" applyAlignment="1">
      <alignment horizontal="center" vertical="top"/>
    </xf>
    <xf numFmtId="0" fontId="30" fillId="0" borderId="0" xfId="1" quotePrefix="1" applyNumberFormat="1" applyFont="1" applyFill="1" applyAlignment="1">
      <alignment horizontal="center"/>
    </xf>
    <xf numFmtId="166" fontId="30" fillId="0" borderId="0" xfId="1" applyFont="1" applyFill="1" applyBorder="1" applyAlignment="1"/>
    <xf numFmtId="0" fontId="30" fillId="0" borderId="0" xfId="0" applyNumberFormat="1" applyFont="1" applyFill="1" applyBorder="1" applyAlignment="1">
      <alignment horizontal="center"/>
    </xf>
    <xf numFmtId="0" fontId="30" fillId="0" borderId="0" xfId="0" applyFont="1" applyFill="1" applyBorder="1" applyAlignment="1"/>
    <xf numFmtId="0" fontId="30" fillId="0" borderId="0" xfId="1" applyNumberFormat="1" applyFont="1" applyFill="1" applyAlignment="1">
      <alignment horizontal="center"/>
    </xf>
    <xf numFmtId="43" fontId="64" fillId="0" borderId="0" xfId="76" applyFont="1" applyFill="1" applyAlignment="1">
      <alignment horizontal="left"/>
    </xf>
    <xf numFmtId="166" fontId="30" fillId="0" borderId="0" xfId="1" applyFill="1" applyAlignment="1">
      <alignment horizontal="center" vertical="center" wrapText="1"/>
    </xf>
    <xf numFmtId="166" fontId="30" fillId="0" borderId="0" xfId="1" applyFill="1" applyAlignment="1">
      <alignment horizontal="center" vertical="center"/>
    </xf>
    <xf numFmtId="166" fontId="30" fillId="0" borderId="0" xfId="1" applyFill="1" applyBorder="1" applyAlignment="1">
      <alignment horizontal="center" vertical="center"/>
    </xf>
  </cellXfs>
  <cellStyles count="169">
    <cellStyle name="0,0_x000d__x000a_NA_x000d__x000a_" xfId="5" xr:uid="{00000000-0005-0000-0000-000000000000}"/>
    <cellStyle name="20% - Accent1 2" xfId="6" xr:uid="{00000000-0005-0000-0000-000001000000}"/>
    <cellStyle name="20% - Accent2 2" xfId="7" xr:uid="{00000000-0005-0000-0000-000002000000}"/>
    <cellStyle name="20% - Accent3 2" xfId="8" xr:uid="{00000000-0005-0000-0000-000003000000}"/>
    <cellStyle name="20% - Accent4 2" xfId="9" xr:uid="{00000000-0005-0000-0000-000004000000}"/>
    <cellStyle name="20% - Accent5 2" xfId="10" xr:uid="{00000000-0005-0000-0000-000005000000}"/>
    <cellStyle name="20% - Accent6 2" xfId="11" xr:uid="{00000000-0005-0000-0000-000006000000}"/>
    <cellStyle name="40% - Accent1 2" xfId="12" xr:uid="{00000000-0005-0000-0000-000007000000}"/>
    <cellStyle name="40% - Accent2 2" xfId="13" xr:uid="{00000000-0005-0000-0000-000008000000}"/>
    <cellStyle name="40% - Accent3 2" xfId="14" xr:uid="{00000000-0005-0000-0000-000009000000}"/>
    <cellStyle name="40% - Accent4 2" xfId="15" xr:uid="{00000000-0005-0000-0000-00000A000000}"/>
    <cellStyle name="40% - Accent5 2" xfId="16" xr:uid="{00000000-0005-0000-0000-00000B000000}"/>
    <cellStyle name="40% - Accent6 2" xfId="17" xr:uid="{00000000-0005-0000-0000-00000C000000}"/>
    <cellStyle name="60% - Accent1 2" xfId="18" xr:uid="{00000000-0005-0000-0000-00000D000000}"/>
    <cellStyle name="60% - Accent2 2" xfId="19" xr:uid="{00000000-0005-0000-0000-00000E000000}"/>
    <cellStyle name="60% - Accent3 2" xfId="20" xr:uid="{00000000-0005-0000-0000-00000F000000}"/>
    <cellStyle name="60% - Accent4 2" xfId="21" xr:uid="{00000000-0005-0000-0000-000010000000}"/>
    <cellStyle name="60% - Accent5 2" xfId="22" xr:uid="{00000000-0005-0000-0000-000011000000}"/>
    <cellStyle name="60% - Accent6 2" xfId="23" xr:uid="{00000000-0005-0000-0000-000012000000}"/>
    <cellStyle name="Accent1 2" xfId="24" xr:uid="{00000000-0005-0000-0000-000013000000}"/>
    <cellStyle name="Accent2 2" xfId="25" xr:uid="{00000000-0005-0000-0000-000014000000}"/>
    <cellStyle name="Accent3 2" xfId="26" xr:uid="{00000000-0005-0000-0000-000015000000}"/>
    <cellStyle name="Accent4 2" xfId="27" xr:uid="{00000000-0005-0000-0000-000016000000}"/>
    <cellStyle name="Accent5 2" xfId="28" xr:uid="{00000000-0005-0000-0000-000017000000}"/>
    <cellStyle name="Accent6 2" xfId="29" xr:uid="{00000000-0005-0000-0000-000018000000}"/>
    <cellStyle name="Bad 2" xfId="30" xr:uid="{00000000-0005-0000-0000-000019000000}"/>
    <cellStyle name="Calculation 2" xfId="31" xr:uid="{00000000-0005-0000-0000-00001A000000}"/>
    <cellStyle name="Check Cell 2" xfId="32" xr:uid="{00000000-0005-0000-0000-00001B000000}"/>
    <cellStyle name="Comma" xfId="1" builtinId="3"/>
    <cellStyle name="Comma 10" xfId="72" xr:uid="{00000000-0005-0000-0000-00001D000000}"/>
    <cellStyle name="Comma 10 2" xfId="102" xr:uid="{00000000-0005-0000-0000-00001E000000}"/>
    <cellStyle name="Comma 10 2 2" xfId="136" xr:uid="{00000000-0005-0000-0000-00001F000000}"/>
    <cellStyle name="Comma 10 3" xfId="119" xr:uid="{00000000-0005-0000-0000-000020000000}"/>
    <cellStyle name="Comma 11" xfId="76" xr:uid="{00000000-0005-0000-0000-000021000000}"/>
    <cellStyle name="Comma 11 2" xfId="103" xr:uid="{00000000-0005-0000-0000-000022000000}"/>
    <cellStyle name="Comma 11 2 2" xfId="137" xr:uid="{00000000-0005-0000-0000-000023000000}"/>
    <cellStyle name="Comma 11 3" xfId="121" xr:uid="{00000000-0005-0000-0000-000024000000}"/>
    <cellStyle name="Comma 12" xfId="77" xr:uid="{00000000-0005-0000-0000-000025000000}"/>
    <cellStyle name="Comma 12 2" xfId="104" xr:uid="{00000000-0005-0000-0000-000026000000}"/>
    <cellStyle name="Comma 12 2 2" xfId="138" xr:uid="{00000000-0005-0000-0000-000027000000}"/>
    <cellStyle name="Comma 12 3" xfId="122" xr:uid="{00000000-0005-0000-0000-000028000000}"/>
    <cellStyle name="Comma 13" xfId="78" xr:uid="{00000000-0005-0000-0000-000029000000}"/>
    <cellStyle name="Comma 13 2" xfId="105" xr:uid="{00000000-0005-0000-0000-00002A000000}"/>
    <cellStyle name="Comma 13 2 2" xfId="139" xr:uid="{00000000-0005-0000-0000-00002B000000}"/>
    <cellStyle name="Comma 13 3" xfId="123" xr:uid="{00000000-0005-0000-0000-00002C000000}"/>
    <cellStyle name="Comma 14" xfId="111" xr:uid="{00000000-0005-0000-0000-00002D000000}"/>
    <cellStyle name="Comma 14 2" xfId="142" xr:uid="{00000000-0005-0000-0000-00002E000000}"/>
    <cellStyle name="Comma 2" xfId="3" xr:uid="{00000000-0005-0000-0000-00002F000000}"/>
    <cellStyle name="Comma 2 2" xfId="4" xr:uid="{00000000-0005-0000-0000-000030000000}"/>
    <cellStyle name="Comma 2 2 2" xfId="86" xr:uid="{00000000-0005-0000-0000-000031000000}"/>
    <cellStyle name="Comma 2 2 2 2" xfId="129" xr:uid="{00000000-0005-0000-0000-000032000000}"/>
    <cellStyle name="Comma 2 2 3" xfId="84" xr:uid="{00000000-0005-0000-0000-000033000000}"/>
    <cellStyle name="Comma 2 2 3 2" xfId="127" xr:uid="{00000000-0005-0000-0000-000034000000}"/>
    <cellStyle name="Comma 2 3" xfId="73" xr:uid="{00000000-0005-0000-0000-000035000000}"/>
    <cellStyle name="Comma 2 4" xfId="85" xr:uid="{00000000-0005-0000-0000-000036000000}"/>
    <cellStyle name="Comma 2 4 2" xfId="128" xr:uid="{00000000-0005-0000-0000-000037000000}"/>
    <cellStyle name="Comma 2 5" xfId="83" xr:uid="{00000000-0005-0000-0000-000038000000}"/>
    <cellStyle name="Comma 2 5 2" xfId="126" xr:uid="{00000000-0005-0000-0000-000039000000}"/>
    <cellStyle name="Comma 3" xfId="51" xr:uid="{00000000-0005-0000-0000-00003A000000}"/>
    <cellStyle name="Comma 3 2" xfId="88" xr:uid="{00000000-0005-0000-0000-00003B000000}"/>
    <cellStyle name="Comma 3 2 2" xfId="130" xr:uid="{00000000-0005-0000-0000-00003C000000}"/>
    <cellStyle name="Comma 3 3" xfId="108" xr:uid="{00000000-0005-0000-0000-00003D000000}"/>
    <cellStyle name="Comma 3 3 2" xfId="140" xr:uid="{00000000-0005-0000-0000-00003E000000}"/>
    <cellStyle name="Comma 3 4" xfId="114" xr:uid="{00000000-0005-0000-0000-00003F000000}"/>
    <cellStyle name="Comma 4" xfId="53" xr:uid="{00000000-0005-0000-0000-000040000000}"/>
    <cellStyle name="Comma 5" xfId="54" xr:uid="{00000000-0005-0000-0000-000041000000}"/>
    <cellStyle name="Comma 5 2" xfId="89" xr:uid="{00000000-0005-0000-0000-000042000000}"/>
    <cellStyle name="Comma 5 2 2" xfId="131" xr:uid="{00000000-0005-0000-0000-000043000000}"/>
    <cellStyle name="Comma 6" xfId="56" xr:uid="{00000000-0005-0000-0000-000044000000}"/>
    <cellStyle name="Comma 6 2" xfId="91" xr:uid="{00000000-0005-0000-0000-000045000000}"/>
    <cellStyle name="Comma 6 2 2" xfId="132" xr:uid="{00000000-0005-0000-0000-000046000000}"/>
    <cellStyle name="Comma 6 3" xfId="115" xr:uid="{00000000-0005-0000-0000-000047000000}"/>
    <cellStyle name="Comma 7" xfId="62" xr:uid="{00000000-0005-0000-0000-000048000000}"/>
    <cellStyle name="Comma 7 2" xfId="95" xr:uid="{00000000-0005-0000-0000-000049000000}"/>
    <cellStyle name="Comma 7 2 2" xfId="133" xr:uid="{00000000-0005-0000-0000-00004A000000}"/>
    <cellStyle name="Comma 7 3" xfId="116" xr:uid="{00000000-0005-0000-0000-00004B000000}"/>
    <cellStyle name="Comma 8" xfId="67" xr:uid="{00000000-0005-0000-0000-00004C000000}"/>
    <cellStyle name="Comma 8 2" xfId="98" xr:uid="{00000000-0005-0000-0000-00004D000000}"/>
    <cellStyle name="Comma 8 2 2" xfId="134" xr:uid="{00000000-0005-0000-0000-00004E000000}"/>
    <cellStyle name="Comma 8 3" xfId="117" xr:uid="{00000000-0005-0000-0000-00004F000000}"/>
    <cellStyle name="Comma 9" xfId="69" xr:uid="{00000000-0005-0000-0000-000050000000}"/>
    <cellStyle name="Comma 9 2" xfId="100" xr:uid="{00000000-0005-0000-0000-000051000000}"/>
    <cellStyle name="Comma 9 2 2" xfId="135" xr:uid="{00000000-0005-0000-0000-000052000000}"/>
    <cellStyle name="Comma 9 3" xfId="118" xr:uid="{00000000-0005-0000-0000-000053000000}"/>
    <cellStyle name="Currency 2" xfId="112" xr:uid="{00000000-0005-0000-0000-000054000000}"/>
    <cellStyle name="Currency 2 2" xfId="143" xr:uid="{00000000-0005-0000-0000-000055000000}"/>
    <cellStyle name="Explanatory Text 2" xfId="33" xr:uid="{00000000-0005-0000-0000-000056000000}"/>
    <cellStyle name="Good 2" xfId="34" xr:uid="{00000000-0005-0000-0000-000057000000}"/>
    <cellStyle name="Heading 1 2" xfId="35" xr:uid="{00000000-0005-0000-0000-000058000000}"/>
    <cellStyle name="Heading 2 2" xfId="36" xr:uid="{00000000-0005-0000-0000-000059000000}"/>
    <cellStyle name="Heading 3 2" xfId="37" xr:uid="{00000000-0005-0000-0000-00005A000000}"/>
    <cellStyle name="Heading 4 2" xfId="38" xr:uid="{00000000-0005-0000-0000-00005B000000}"/>
    <cellStyle name="Hyperlink 2" xfId="81" xr:uid="{00000000-0005-0000-0000-00005C000000}"/>
    <cellStyle name="Input 2" xfId="39" xr:uid="{00000000-0005-0000-0000-00005D000000}"/>
    <cellStyle name="Linked Cell 2" xfId="40" xr:uid="{00000000-0005-0000-0000-00005E000000}"/>
    <cellStyle name="Neutral 2" xfId="41" xr:uid="{00000000-0005-0000-0000-00005F000000}"/>
    <cellStyle name="Normal" xfId="0" builtinId="0"/>
    <cellStyle name="Normal 10" xfId="64" xr:uid="{00000000-0005-0000-0000-000061000000}"/>
    <cellStyle name="Normal 10 2" xfId="96" xr:uid="{00000000-0005-0000-0000-000062000000}"/>
    <cellStyle name="Normal 11" xfId="65" xr:uid="{00000000-0005-0000-0000-000063000000}"/>
    <cellStyle name="Normal 11 2" xfId="70" xr:uid="{00000000-0005-0000-0000-000064000000}"/>
    <cellStyle name="Normal 12" xfId="66" xr:uid="{00000000-0005-0000-0000-000065000000}"/>
    <cellStyle name="Normal 12 2" xfId="97" xr:uid="{00000000-0005-0000-0000-000066000000}"/>
    <cellStyle name="Normal 13" xfId="68" xr:uid="{00000000-0005-0000-0000-000067000000}"/>
    <cellStyle name="Normal 13 2" xfId="99" xr:uid="{00000000-0005-0000-0000-000068000000}"/>
    <cellStyle name="Normal 14" xfId="71" xr:uid="{00000000-0005-0000-0000-000069000000}"/>
    <cellStyle name="Normal 14 2" xfId="101" xr:uid="{00000000-0005-0000-0000-00006A000000}"/>
    <cellStyle name="Normal 15" xfId="79" xr:uid="{00000000-0005-0000-0000-00006B000000}"/>
    <cellStyle name="Normal 15 2" xfId="106" xr:uid="{00000000-0005-0000-0000-00006C000000}"/>
    <cellStyle name="Normal 16" xfId="110" xr:uid="{00000000-0005-0000-0000-00006D000000}"/>
    <cellStyle name="Normal 16 2" xfId="141" xr:uid="{00000000-0005-0000-0000-00006E000000}"/>
    <cellStyle name="Normal 17" xfId="113" xr:uid="{00000000-0005-0000-0000-00006F000000}"/>
    <cellStyle name="Normal 17 2" xfId="144" xr:uid="{00000000-0005-0000-0000-000070000000}"/>
    <cellStyle name="Normal 18" xfId="145" xr:uid="{6CB538E9-632B-4462-92B1-CAAD1803E713}"/>
    <cellStyle name="Normal 19" xfId="166" xr:uid="{F9ABB5C1-8ED7-4178-AE26-BDDBD64EDCA8}"/>
    <cellStyle name="Normal 2" xfId="42" xr:uid="{00000000-0005-0000-0000-000071000000}"/>
    <cellStyle name="Normal 2 2" xfId="75" xr:uid="{00000000-0005-0000-0000-000072000000}"/>
    <cellStyle name="Normal 2 2 2" xfId="120" xr:uid="{00000000-0005-0000-0000-000073000000}"/>
    <cellStyle name="Normal 2 2 3" xfId="146" xr:uid="{BEE0CAA8-F199-4AD0-A1E5-E6DDFC1D7256}"/>
    <cellStyle name="Normal 2 2 4" xfId="147" xr:uid="{5EA769D4-9B0D-42A8-BD65-BF9A562FC805}"/>
    <cellStyle name="Normal 2 2 5" xfId="148" xr:uid="{8B0AF36E-5957-4CF0-BE6C-0E744E41A47F}"/>
    <cellStyle name="Normal 2 2 6" xfId="149" xr:uid="{5BC554FB-CE1D-4C75-B9BB-7B0130D443A8}"/>
    <cellStyle name="Normal 2 2 6 10" xfId="162" xr:uid="{F7C740B8-CC99-4BE0-8562-AD28493BA10D}"/>
    <cellStyle name="Normal 2 2 6 11" xfId="163" xr:uid="{38180533-B78D-4C8F-9133-6B9553FF0161}"/>
    <cellStyle name="Normal 2 2 6 12" xfId="164" xr:uid="{D6EAFDA4-4ECB-4C88-8A61-EA49C5E31BB5}"/>
    <cellStyle name="Normal 2 2 6 13" xfId="165" xr:uid="{EBED4F14-078F-4F11-8CE8-F1D4D52583C2}"/>
    <cellStyle name="Normal 2 2 6 14" xfId="167" xr:uid="{0C76CD64-6B1A-4763-B997-636C624FC4D7}"/>
    <cellStyle name="Normal 2 2 6 2" xfId="154" xr:uid="{B6C316DD-D342-495C-A4BA-71CFBB7B1381}"/>
    <cellStyle name="Normal 2 2 6 3" xfId="155" xr:uid="{73D86108-A3E9-40A3-A810-DF2CDF23F702}"/>
    <cellStyle name="Normal 2 2 6 4" xfId="156" xr:uid="{EC2A1E44-D6AA-4F06-B464-7C6046032B53}"/>
    <cellStyle name="Normal 2 2 6 5" xfId="157" xr:uid="{199E74B6-5219-411F-AD5B-52417D8A81C2}"/>
    <cellStyle name="Normal 2 2 6 6" xfId="158" xr:uid="{8B333641-9159-4476-97C1-3492A26339D3}"/>
    <cellStyle name="Normal 2 2 6 7" xfId="159" xr:uid="{D8E40BBE-636B-4945-A253-CCFA07C879A1}"/>
    <cellStyle name="Normal 2 2 6 8" xfId="160" xr:uid="{ED39AC37-9D8A-4766-9BEE-E7190543AC11}"/>
    <cellStyle name="Normal 2 2 6 9" xfId="161" xr:uid="{CABE4588-A9A7-4C1F-896C-6103E7F22148}"/>
    <cellStyle name="Normal 2 2 7" xfId="150" xr:uid="{E67C7187-0BFE-44BB-96A2-CE9D78AE88F7}"/>
    <cellStyle name="Normal 2 2 8" xfId="151" xr:uid="{AF219ABE-1B50-4699-855A-31B1E8319E09}"/>
    <cellStyle name="Normal 2 2 8 2" xfId="153" xr:uid="{5C5CE83B-E5D4-46CD-994F-9CF2ED9097E3}"/>
    <cellStyle name="Normal 2 2 9" xfId="152" xr:uid="{68C08B07-5211-4C95-BDB9-CB7AB7DBCD28}"/>
    <cellStyle name="Normal 20" xfId="168" xr:uid="{54913D28-509B-4EC5-96A6-FF0BAB7874AF}"/>
    <cellStyle name="Normal 3" xfId="49" xr:uid="{00000000-0005-0000-0000-000074000000}"/>
    <cellStyle name="Normal 3 2" xfId="52" xr:uid="{00000000-0005-0000-0000-000075000000}"/>
    <cellStyle name="Normal 4" xfId="50" xr:uid="{00000000-0005-0000-0000-000076000000}"/>
    <cellStyle name="Normal 4 2" xfId="74" xr:uid="{00000000-0005-0000-0000-000077000000}"/>
    <cellStyle name="Normal 4 3" xfId="87" xr:uid="{00000000-0005-0000-0000-000078000000}"/>
    <cellStyle name="Normal 4 4" xfId="107" xr:uid="{00000000-0005-0000-0000-000079000000}"/>
    <cellStyle name="Normal 5" xfId="55" xr:uid="{00000000-0005-0000-0000-00007A000000}"/>
    <cellStyle name="Normal 5 2" xfId="90" xr:uid="{00000000-0005-0000-0000-00007B000000}"/>
    <cellStyle name="Normal 6" xfId="58" xr:uid="{00000000-0005-0000-0000-00007C000000}"/>
    <cellStyle name="Normal 6 2" xfId="92" xr:uid="{00000000-0005-0000-0000-00007D000000}"/>
    <cellStyle name="Normal 7" xfId="59" xr:uid="{00000000-0005-0000-0000-00007E000000}"/>
    <cellStyle name="Normal 7 2" xfId="80" xr:uid="{00000000-0005-0000-0000-00007F000000}"/>
    <cellStyle name="Normal 7 2 2" xfId="124" xr:uid="{00000000-0005-0000-0000-000080000000}"/>
    <cellStyle name="Normal 7 3" xfId="93" xr:uid="{00000000-0005-0000-0000-000081000000}"/>
    <cellStyle name="Normal 8" xfId="60" xr:uid="{00000000-0005-0000-0000-000082000000}"/>
    <cellStyle name="Normal 8 2" xfId="82" xr:uid="{00000000-0005-0000-0000-000083000000}"/>
    <cellStyle name="Normal 8 2 2" xfId="125" xr:uid="{00000000-0005-0000-0000-000084000000}"/>
    <cellStyle name="Normal 8 3" xfId="94" xr:uid="{00000000-0005-0000-0000-000085000000}"/>
    <cellStyle name="Normal 9" xfId="61" xr:uid="{00000000-0005-0000-0000-000086000000}"/>
    <cellStyle name="Normal_SALES PER AE-071207" xfId="2" xr:uid="{00000000-0005-0000-0000-000087000000}"/>
    <cellStyle name="Note 2" xfId="43" xr:uid="{00000000-0005-0000-0000-000088000000}"/>
    <cellStyle name="Output 2" xfId="44" xr:uid="{00000000-0005-0000-0000-000089000000}"/>
    <cellStyle name="Percent" xfId="57" builtinId="5"/>
    <cellStyle name="Percent 2" xfId="45" xr:uid="{00000000-0005-0000-0000-00008B000000}"/>
    <cellStyle name="Percent 2 2" xfId="109" xr:uid="{00000000-0005-0000-0000-00008C000000}"/>
    <cellStyle name="Percent 3" xfId="63" xr:uid="{00000000-0005-0000-0000-00008D000000}"/>
    <cellStyle name="Title 2" xfId="46" xr:uid="{00000000-0005-0000-0000-00008E000000}"/>
    <cellStyle name="Total 2" xfId="47" xr:uid="{00000000-0005-0000-0000-00008F000000}"/>
    <cellStyle name="Warning Text 2" xfId="48" xr:uid="{00000000-0005-0000-0000-000090000000}"/>
  </cellStyles>
  <dxfs count="14">
    <dxf>
      <font>
        <color rgb="FF008000"/>
      </font>
    </dxf>
    <dxf>
      <font>
        <color rgb="FF00B050"/>
      </font>
    </dxf>
    <dxf>
      <font>
        <color rgb="FF008000"/>
      </font>
    </dxf>
    <dxf>
      <font>
        <color rgb="FF009900"/>
      </font>
    </dxf>
    <dxf>
      <font>
        <color rgb="FF008000"/>
      </font>
    </dxf>
    <dxf>
      <font>
        <color rgb="FF00B050"/>
      </font>
    </dxf>
    <dxf>
      <font>
        <color rgb="FF008000"/>
      </font>
    </dxf>
    <dxf>
      <font>
        <color rgb="FF009900"/>
      </font>
    </dxf>
    <dxf>
      <font>
        <color rgb="FF008000"/>
      </font>
    </dxf>
    <dxf>
      <font>
        <color rgb="FF00B050"/>
      </font>
    </dxf>
    <dxf>
      <font>
        <color rgb="FF008000"/>
      </font>
    </dxf>
    <dxf>
      <font>
        <color rgb="FF009900"/>
      </font>
    </dxf>
    <dxf>
      <font>
        <color rgb="FF009900"/>
      </font>
    </dxf>
    <dxf>
      <font>
        <color rgb="FFFF0000"/>
      </font>
    </dxf>
  </dxfs>
  <tableStyles count="0" defaultTableStyle="TableStyleMedium2" defaultPivotStyle="PivotStyleLight16"/>
  <colors>
    <mruColors>
      <color rgb="FF3333FF"/>
      <color rgb="FFFF33CC"/>
      <color rgb="FF000099"/>
      <color rgb="FF00FF00"/>
      <color rgb="FFCC99FF"/>
      <color rgb="FFFF99FF"/>
      <color rgb="FFFF00FF"/>
      <color rgb="FF008000"/>
      <color rgb="FF0066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3B32-1AF1-4B9E-B516-4687FE5B42A4}">
  <sheetPr codeName="Sheet1"/>
  <dimension ref="A1:BO51"/>
  <sheetViews>
    <sheetView zoomScale="80" zoomScaleNormal="80" workbookViewId="0">
      <pane ySplit="19" topLeftCell="A20" activePane="bottomLeft" state="frozen"/>
      <selection activeCell="I305" sqref="I305"/>
      <selection pane="bottomLeft" activeCell="N31" sqref="N31"/>
    </sheetView>
  </sheetViews>
  <sheetFormatPr defaultColWidth="9.109375" defaultRowHeight="12.9" customHeight="1" x14ac:dyDescent="0.25"/>
  <cols>
    <col min="1" max="1" width="10" style="34" customWidth="1"/>
    <col min="2" max="2" width="18.6640625" style="12" hidden="1" customWidth="1"/>
    <col min="3" max="3" width="30" style="8" customWidth="1"/>
    <col min="4" max="4" width="39.6640625" style="8" hidden="1" customWidth="1"/>
    <col min="5" max="5" width="14.109375" style="11" hidden="1" customWidth="1"/>
    <col min="6" max="6" width="40.5546875" style="8" hidden="1" customWidth="1"/>
    <col min="7" max="7" width="12.88671875" style="12" hidden="1" customWidth="1"/>
    <col min="8" max="8" width="14.5546875" style="12" customWidth="1"/>
    <col min="9" max="9" width="14.44140625" style="12" hidden="1" customWidth="1"/>
    <col min="10" max="10" width="11.6640625" style="12" hidden="1" customWidth="1"/>
    <col min="11" max="11" width="7.5546875" style="12" customWidth="1"/>
    <col min="12" max="12" width="24.5546875" style="12" customWidth="1"/>
    <col min="13" max="13" width="6.109375" style="12" hidden="1" customWidth="1"/>
    <col min="14" max="14" width="17.5546875" style="25" customWidth="1"/>
    <col min="15" max="15" width="16.109375" style="7" hidden="1" customWidth="1"/>
    <col min="16" max="16" width="10.6640625" style="34" hidden="1" customWidth="1"/>
    <col min="17" max="17" width="13.88671875" style="34" customWidth="1"/>
    <col min="18" max="18" width="17.33203125" style="8" customWidth="1"/>
    <col min="19" max="19" width="16.109375" style="7" hidden="1" customWidth="1"/>
    <col min="20" max="21" width="14.5546875" style="7" hidden="1" customWidth="1"/>
    <col min="22" max="22" width="15.5546875" style="15" hidden="1" customWidth="1"/>
    <col min="23" max="23" width="14.109375" style="15" hidden="1" customWidth="1"/>
    <col min="24" max="24" width="18.44140625" style="33" hidden="1" customWidth="1"/>
    <col min="25" max="27" width="15.44140625" style="15" hidden="1" customWidth="1"/>
    <col min="28" max="28" width="15.109375" style="15" hidden="1" customWidth="1"/>
    <col min="29" max="29" width="14" style="34" hidden="1" customWidth="1"/>
    <col min="30" max="30" width="16.109375" style="7" hidden="1" customWidth="1"/>
    <col min="31" max="31" width="14.88671875" style="34" hidden="1" customWidth="1"/>
    <col min="32" max="32" width="15.6640625" style="7" customWidth="1"/>
    <col min="33" max="33" width="16.44140625" style="7" customWidth="1"/>
    <col min="34" max="34" width="14.33203125" style="7" hidden="1" customWidth="1"/>
    <col min="35" max="35" width="16.109375" style="8" hidden="1" customWidth="1"/>
    <col min="36" max="36" width="14.88671875" style="15" hidden="1" customWidth="1"/>
    <col min="37" max="37" width="13.6640625" style="7" hidden="1" customWidth="1"/>
    <col min="38" max="40" width="18.6640625" style="15" hidden="1" customWidth="1"/>
    <col min="41" max="41" width="15" style="8" hidden="1" customWidth="1"/>
    <col min="42" max="42" width="15.6640625" style="39" hidden="1" customWidth="1"/>
    <col min="43" max="43" width="15.5546875" style="12" hidden="1" customWidth="1"/>
    <col min="44" max="44" width="10.6640625" style="77" customWidth="1"/>
    <col min="45" max="45" width="9.88671875" style="44" hidden="1" customWidth="1"/>
    <col min="46" max="46" width="14.6640625" style="8" hidden="1" customWidth="1"/>
    <col min="47" max="47" width="17.109375" style="7" hidden="1" customWidth="1"/>
    <col min="48" max="48" width="17.109375" style="8" hidden="1" customWidth="1"/>
    <col min="49" max="49" width="16.109375" style="8" hidden="1" customWidth="1"/>
    <col min="50" max="50" width="15.109375" style="8" hidden="1" customWidth="1"/>
    <col min="51" max="51" width="10.77734375" style="8" hidden="1" customWidth="1"/>
    <col min="52" max="52" width="10.44140625" style="97" bestFit="1" customWidth="1"/>
    <col min="53" max="64" width="0" style="8" hidden="1" customWidth="1"/>
    <col min="65" max="65" width="9.109375" style="8"/>
    <col min="66" max="66" width="13.109375" style="8" bestFit="1" customWidth="1"/>
    <col min="67" max="67" width="11.44140625" style="8" bestFit="1" customWidth="1"/>
    <col min="68" max="16384" width="9.109375" style="8"/>
  </cols>
  <sheetData>
    <row r="1" spans="1:66" ht="12.9" customHeight="1" x14ac:dyDescent="0.25">
      <c r="A1" s="2" t="s">
        <v>27</v>
      </c>
      <c r="B1" s="13"/>
      <c r="C1" s="3"/>
      <c r="D1" s="4"/>
      <c r="F1" s="33"/>
      <c r="G1" s="6"/>
      <c r="H1" s="6"/>
      <c r="I1" s="6"/>
      <c r="J1" s="16"/>
      <c r="L1" s="81"/>
      <c r="M1" s="82"/>
      <c r="N1" s="102" t="s">
        <v>71</v>
      </c>
      <c r="O1" s="106"/>
      <c r="P1" s="107"/>
      <c r="Q1" s="108" t="s">
        <v>72</v>
      </c>
      <c r="R1" s="102" t="s">
        <v>73</v>
      </c>
      <c r="S1" s="3"/>
      <c r="T1" s="33"/>
      <c r="V1" s="35"/>
      <c r="Y1" s="25"/>
      <c r="Z1" s="23"/>
      <c r="AA1" s="36"/>
      <c r="AC1" s="37"/>
      <c r="AD1" s="37"/>
      <c r="AE1" s="37"/>
      <c r="AG1" s="25"/>
      <c r="AH1" s="25"/>
      <c r="AI1" s="7"/>
      <c r="AM1" s="25"/>
      <c r="AN1" s="38"/>
      <c r="AO1" s="23"/>
      <c r="AQ1" s="40"/>
      <c r="AR1" s="76"/>
      <c r="AS1" s="41"/>
      <c r="AT1" s="5"/>
      <c r="AW1" s="42"/>
      <c r="AX1" s="5"/>
    </row>
    <row r="2" spans="1:66" ht="12.9" customHeight="1" x14ac:dyDescent="0.25">
      <c r="A2" s="9" t="s">
        <v>55</v>
      </c>
      <c r="C2" s="10"/>
      <c r="D2" s="4"/>
      <c r="F2" s="33"/>
      <c r="H2" s="6"/>
      <c r="I2" s="6"/>
      <c r="L2" s="86" t="s">
        <v>74</v>
      </c>
      <c r="M2" s="87"/>
      <c r="N2" s="88">
        <f>+Q2+R2</f>
        <v>28199.99</v>
      </c>
      <c r="O2" s="84"/>
      <c r="P2" s="85"/>
      <c r="Q2" s="89">
        <f>N22+N23</f>
        <v>28199.99</v>
      </c>
      <c r="R2" s="90"/>
      <c r="T2" s="33"/>
      <c r="V2" s="25"/>
      <c r="X2" s="25"/>
      <c r="Y2" s="25"/>
      <c r="Z2" s="25"/>
      <c r="AA2" s="36"/>
      <c r="AB2" s="25"/>
      <c r="AC2" s="37"/>
      <c r="AD2" s="37"/>
      <c r="AE2" s="13"/>
      <c r="AG2" s="25"/>
      <c r="AH2" s="25"/>
      <c r="AI2" s="7"/>
      <c r="AJ2" s="25"/>
      <c r="AK2" s="25"/>
      <c r="AT2" s="5"/>
      <c r="AV2" s="5"/>
      <c r="AW2" s="7"/>
      <c r="AX2" s="5"/>
    </row>
    <row r="3" spans="1:66" ht="12.9" customHeight="1" x14ac:dyDescent="0.25">
      <c r="A3" s="9">
        <v>46276</v>
      </c>
      <c r="C3" s="10"/>
      <c r="D3" s="6"/>
      <c r="E3" s="33"/>
      <c r="F3" s="33"/>
      <c r="G3" s="33"/>
      <c r="H3" s="6"/>
      <c r="I3" s="6"/>
      <c r="L3" s="86" t="s">
        <v>75</v>
      </c>
      <c r="M3" s="87"/>
      <c r="N3" s="88">
        <f t="shared" ref="N3:N5" si="0">+Q3+R3</f>
        <v>1454315.71</v>
      </c>
      <c r="O3" s="84"/>
      <c r="P3" s="85"/>
      <c r="Q3" s="89">
        <f>N21+N24+N27+N28+N26+N25</f>
        <v>1442395.71</v>
      </c>
      <c r="R3" s="90">
        <f>N20</f>
        <v>11920</v>
      </c>
      <c r="T3" s="33"/>
      <c r="U3" s="14"/>
      <c r="V3" s="33"/>
      <c r="W3" s="33"/>
      <c r="Y3" s="33"/>
      <c r="Z3" s="25"/>
      <c r="AA3" s="36"/>
      <c r="AB3" s="25"/>
      <c r="AC3" s="37"/>
      <c r="AD3" s="37"/>
      <c r="AE3" s="13"/>
      <c r="AH3" s="25"/>
      <c r="AI3" s="45"/>
      <c r="AJ3" s="25"/>
      <c r="AK3" s="25"/>
      <c r="AO3" s="18"/>
      <c r="AP3" s="46"/>
      <c r="AT3" s="23"/>
      <c r="AV3" s="5"/>
      <c r="AW3" s="7"/>
      <c r="AX3" s="5"/>
    </row>
    <row r="4" spans="1:66" ht="12.9" customHeight="1" x14ac:dyDescent="0.25">
      <c r="A4" s="9"/>
      <c r="C4" s="10"/>
      <c r="D4" s="10"/>
      <c r="F4" s="33"/>
      <c r="G4" s="33"/>
      <c r="H4" s="6"/>
      <c r="I4" s="6"/>
      <c r="L4" s="83" t="s">
        <v>76</v>
      </c>
      <c r="M4" s="87"/>
      <c r="N4" s="88">
        <f t="shared" si="0"/>
        <v>0</v>
      </c>
      <c r="O4" s="84"/>
      <c r="P4" s="85"/>
      <c r="Q4" s="89"/>
      <c r="R4" s="84"/>
      <c r="S4" s="25"/>
      <c r="T4" s="33"/>
      <c r="U4" s="33"/>
      <c r="V4" s="47"/>
      <c r="W4" s="47"/>
      <c r="X4" s="47"/>
      <c r="Y4" s="47"/>
      <c r="Z4" s="25"/>
      <c r="AA4" s="36"/>
      <c r="AB4" s="23"/>
      <c r="AC4" s="37"/>
      <c r="AD4" s="37"/>
      <c r="AE4" s="13"/>
      <c r="AG4" s="25"/>
      <c r="AH4" s="25"/>
      <c r="AI4" s="45"/>
      <c r="AJ4" s="25"/>
      <c r="AK4" s="25"/>
      <c r="AL4" s="25"/>
      <c r="AN4" s="25"/>
      <c r="AO4" s="25"/>
      <c r="AT4" s="5"/>
      <c r="AV4" s="5"/>
      <c r="AW4" s="5"/>
      <c r="AX4" s="5"/>
    </row>
    <row r="5" spans="1:66" ht="12.9" customHeight="1" x14ac:dyDescent="0.25">
      <c r="A5" s="9"/>
      <c r="C5" s="10"/>
      <c r="D5" s="10"/>
      <c r="F5" s="33"/>
      <c r="G5" s="33"/>
      <c r="H5" s="6"/>
      <c r="I5" s="6"/>
      <c r="L5" s="83" t="s">
        <v>77</v>
      </c>
      <c r="M5" s="87"/>
      <c r="N5" s="88">
        <f t="shared" si="0"/>
        <v>20796</v>
      </c>
      <c r="O5" s="84"/>
      <c r="P5" s="85"/>
      <c r="Q5" s="89">
        <f>R29</f>
        <v>20796</v>
      </c>
      <c r="R5" s="88"/>
      <c r="S5" s="25"/>
      <c r="T5" s="33"/>
      <c r="U5" s="33"/>
      <c r="V5" s="47"/>
      <c r="W5" s="47"/>
      <c r="X5" s="47"/>
      <c r="Y5" s="47"/>
      <c r="Z5" s="25"/>
      <c r="AA5" s="36"/>
      <c r="AB5" s="23"/>
      <c r="AC5" s="37"/>
      <c r="AD5" s="37"/>
      <c r="AE5" s="13"/>
      <c r="AG5" s="25"/>
      <c r="AH5" s="25"/>
      <c r="AI5" s="45"/>
      <c r="AJ5" s="25"/>
      <c r="AK5" s="25"/>
      <c r="AL5" s="25"/>
      <c r="AN5" s="25"/>
      <c r="AO5" s="25"/>
      <c r="AT5" s="5"/>
      <c r="AV5" s="5"/>
      <c r="AW5" s="5"/>
      <c r="AX5" s="5"/>
    </row>
    <row r="6" spans="1:66" ht="12.9" customHeight="1" x14ac:dyDescent="0.25">
      <c r="A6" s="9"/>
      <c r="C6" s="10"/>
      <c r="D6" s="10"/>
      <c r="F6" s="33"/>
      <c r="G6" s="33"/>
      <c r="H6" s="6"/>
      <c r="I6" s="6"/>
      <c r="L6" s="91"/>
      <c r="M6" s="87"/>
      <c r="N6" s="102">
        <f>SUM(N2:N5)</f>
        <v>1503311.7</v>
      </c>
      <c r="O6" s="102">
        <f t="shared" ref="O6:P6" si="1">SUM(O2:O5)</f>
        <v>0</v>
      </c>
      <c r="P6" s="102">
        <f t="shared" si="1"/>
        <v>0</v>
      </c>
      <c r="Q6" s="102"/>
      <c r="R6" s="102"/>
      <c r="S6" s="25"/>
      <c r="T6" s="33"/>
      <c r="U6" s="33"/>
      <c r="V6" s="47"/>
      <c r="W6" s="47"/>
      <c r="X6" s="47"/>
      <c r="Y6" s="47"/>
      <c r="Z6" s="25"/>
      <c r="AA6" s="36"/>
      <c r="AB6" s="23"/>
      <c r="AC6" s="37"/>
      <c r="AD6" s="37"/>
      <c r="AE6" s="13"/>
      <c r="AF6" s="25">
        <f>N6-N15</f>
        <v>0</v>
      </c>
      <c r="AG6" s="25"/>
      <c r="AH6" s="25"/>
      <c r="AI6" s="45"/>
      <c r="AJ6" s="25"/>
      <c r="AK6" s="25"/>
      <c r="AL6" s="25"/>
      <c r="AN6" s="25"/>
      <c r="AO6" s="25"/>
      <c r="AT6" s="5"/>
      <c r="AV6" s="5"/>
      <c r="AW6" s="5"/>
      <c r="AX6" s="5"/>
    </row>
    <row r="7" spans="1:66" ht="12.9" customHeight="1" x14ac:dyDescent="0.25">
      <c r="A7" s="9"/>
      <c r="C7" s="10"/>
      <c r="D7" s="10"/>
      <c r="F7" s="33"/>
      <c r="G7" s="33"/>
      <c r="H7" s="6"/>
      <c r="I7" s="6"/>
      <c r="L7" s="91"/>
      <c r="M7" s="87"/>
      <c r="N7" s="88"/>
      <c r="O7" s="84"/>
      <c r="P7" s="85"/>
      <c r="Q7" s="89"/>
      <c r="R7" s="88"/>
      <c r="S7" s="25"/>
      <c r="T7" s="33"/>
      <c r="U7" s="33"/>
      <c r="V7" s="47"/>
      <c r="W7" s="47"/>
      <c r="X7" s="47"/>
      <c r="Y7" s="47"/>
      <c r="Z7" s="25"/>
      <c r="AA7" s="36"/>
      <c r="AB7" s="23"/>
      <c r="AC7" s="37"/>
      <c r="AD7" s="37"/>
      <c r="AE7" s="13"/>
      <c r="AF7" s="25"/>
      <c r="AG7" s="25"/>
      <c r="AH7" s="25"/>
      <c r="AI7" s="45"/>
      <c r="AJ7" s="25"/>
      <c r="AK7" s="25"/>
      <c r="AL7" s="25"/>
      <c r="AN7" s="25"/>
      <c r="AO7" s="25"/>
      <c r="AT7" s="5"/>
      <c r="AV7" s="5"/>
      <c r="AW7" s="5"/>
      <c r="AX7" s="5"/>
    </row>
    <row r="8" spans="1:66" ht="12.9" customHeight="1" x14ac:dyDescent="0.25">
      <c r="A8" s="9"/>
      <c r="C8" s="10"/>
      <c r="D8" s="10"/>
      <c r="F8" s="33"/>
      <c r="G8" s="33"/>
      <c r="H8" s="6"/>
      <c r="I8" s="6"/>
      <c r="L8" s="91"/>
      <c r="M8" s="87"/>
      <c r="N8" s="102" t="s">
        <v>33</v>
      </c>
      <c r="O8" s="106"/>
      <c r="P8" s="107"/>
      <c r="Q8" s="108" t="s">
        <v>80</v>
      </c>
      <c r="R8" s="88"/>
      <c r="S8" s="25"/>
      <c r="T8" s="33"/>
      <c r="U8" s="33"/>
      <c r="V8" s="47"/>
      <c r="W8" s="47"/>
      <c r="X8" s="47"/>
      <c r="Y8" s="47"/>
      <c r="Z8" s="25"/>
      <c r="AA8" s="36"/>
      <c r="AB8" s="23"/>
      <c r="AC8" s="37"/>
      <c r="AD8" s="37"/>
      <c r="AE8" s="13"/>
      <c r="AF8" s="25"/>
      <c r="AG8" s="25"/>
      <c r="AH8" s="25"/>
      <c r="AI8" s="45"/>
      <c r="AJ8" s="25"/>
      <c r="AK8" s="25"/>
      <c r="AL8" s="25"/>
      <c r="AN8" s="25"/>
      <c r="AO8" s="25"/>
      <c r="AT8" s="5"/>
      <c r="AV8" s="5"/>
      <c r="AW8" s="5"/>
      <c r="AX8" s="5"/>
    </row>
    <row r="9" spans="1:66" ht="12.9" customHeight="1" x14ac:dyDescent="0.25">
      <c r="A9" s="9"/>
      <c r="C9" s="10"/>
      <c r="D9" s="10"/>
      <c r="F9" s="33"/>
      <c r="G9" s="33"/>
      <c r="H9" s="6"/>
      <c r="I9" s="6"/>
      <c r="L9" s="92" t="s">
        <v>78</v>
      </c>
      <c r="M9" s="87"/>
      <c r="N9" s="88">
        <v>7531532.25</v>
      </c>
      <c r="O9" s="84"/>
      <c r="P9" s="85"/>
      <c r="Q9" s="89">
        <v>1118643.1055000001</v>
      </c>
      <c r="R9" s="88"/>
      <c r="S9" s="25"/>
      <c r="T9" s="33"/>
      <c r="U9" s="33"/>
      <c r="V9" s="47"/>
      <c r="W9" s="47"/>
      <c r="X9" s="47"/>
      <c r="Y9" s="47"/>
      <c r="Z9" s="25"/>
      <c r="AA9" s="36"/>
      <c r="AB9" s="23"/>
      <c r="AC9" s="37"/>
      <c r="AD9" s="37"/>
      <c r="AE9" s="13"/>
      <c r="AF9" s="25"/>
      <c r="AG9" s="25"/>
      <c r="AH9" s="25"/>
      <c r="AI9" s="45"/>
      <c r="AJ9" s="25"/>
      <c r="AK9" s="25"/>
      <c r="AL9" s="25"/>
      <c r="AN9" s="25"/>
      <c r="AO9" s="25"/>
      <c r="AT9" s="5"/>
      <c r="AV9" s="5"/>
      <c r="AW9" s="5"/>
      <c r="AX9" s="5"/>
      <c r="BN9" s="105"/>
    </row>
    <row r="10" spans="1:66" ht="12.9" customHeight="1" x14ac:dyDescent="0.25">
      <c r="A10" s="9"/>
      <c r="C10" s="10"/>
      <c r="D10" s="10"/>
      <c r="F10" s="33"/>
      <c r="G10" s="33"/>
      <c r="H10" s="6"/>
      <c r="I10" s="6"/>
      <c r="L10" s="92" t="s">
        <v>79</v>
      </c>
      <c r="M10" s="87"/>
      <c r="N10" s="88">
        <v>67767505.219999999</v>
      </c>
      <c r="O10" s="84"/>
      <c r="P10" s="85"/>
      <c r="Q10" s="89">
        <v>9160254.9379999992</v>
      </c>
      <c r="R10" s="88"/>
      <c r="S10" s="25"/>
      <c r="T10" s="33"/>
      <c r="U10" s="33"/>
      <c r="V10" s="47"/>
      <c r="W10" s="47"/>
      <c r="X10" s="47"/>
      <c r="Y10" s="47"/>
      <c r="Z10" s="25"/>
      <c r="AA10" s="36"/>
      <c r="AB10" s="23"/>
      <c r="AC10" s="37"/>
      <c r="AD10" s="37"/>
      <c r="AE10" s="13"/>
      <c r="AF10" s="25"/>
      <c r="AG10" s="25"/>
      <c r="AH10" s="25"/>
      <c r="AI10" s="45"/>
      <c r="AJ10" s="25"/>
      <c r="AK10" s="25"/>
      <c r="AL10" s="25"/>
      <c r="AN10" s="25"/>
      <c r="AO10" s="25"/>
      <c r="AT10" s="5"/>
      <c r="AV10" s="5"/>
      <c r="AW10" s="5"/>
      <c r="AX10" s="5"/>
    </row>
    <row r="11" spans="1:66" ht="12.9" customHeight="1" x14ac:dyDescent="0.25">
      <c r="A11" s="9"/>
      <c r="C11" s="10"/>
      <c r="D11" s="10"/>
      <c r="F11" s="33"/>
      <c r="G11" s="33"/>
      <c r="H11" s="6"/>
      <c r="I11" s="6"/>
      <c r="L11" s="91"/>
      <c r="M11" s="87"/>
      <c r="N11" s="88"/>
      <c r="O11" s="84"/>
      <c r="P11" s="85"/>
      <c r="Q11" s="89"/>
      <c r="R11" s="88"/>
      <c r="S11" s="25"/>
      <c r="T11" s="33"/>
      <c r="U11" s="33"/>
      <c r="V11" s="47"/>
      <c r="W11" s="47"/>
      <c r="X11" s="47"/>
      <c r="Y11" s="47"/>
      <c r="Z11" s="25"/>
      <c r="AA11" s="36"/>
      <c r="AB11" s="23"/>
      <c r="AC11" s="37"/>
      <c r="AD11" s="37"/>
      <c r="AE11" s="13"/>
      <c r="AF11" s="25"/>
      <c r="AG11" s="25"/>
      <c r="AH11" s="25"/>
      <c r="AI11" s="45"/>
      <c r="AJ11" s="25"/>
      <c r="AK11" s="25"/>
      <c r="AL11" s="25"/>
      <c r="AN11" s="25"/>
      <c r="AO11" s="25"/>
      <c r="AT11" s="5"/>
      <c r="AV11" s="5"/>
      <c r="AW11" s="5"/>
      <c r="AX11" s="5"/>
    </row>
    <row r="12" spans="1:66" ht="12.9" customHeight="1" x14ac:dyDescent="0.25">
      <c r="A12" s="9"/>
      <c r="C12" s="10"/>
      <c r="D12" s="10"/>
      <c r="F12" s="33"/>
      <c r="G12" s="33"/>
      <c r="H12" s="6"/>
      <c r="I12" s="6"/>
      <c r="L12" s="91"/>
      <c r="M12" s="87"/>
      <c r="N12" s="88"/>
      <c r="O12" s="84"/>
      <c r="P12" s="85"/>
      <c r="Q12" s="89"/>
      <c r="R12" s="88"/>
      <c r="S12" s="25"/>
      <c r="T12" s="33"/>
      <c r="U12" s="33"/>
      <c r="V12" s="47"/>
      <c r="W12" s="47"/>
      <c r="X12" s="47"/>
      <c r="Y12" s="47"/>
      <c r="Z12" s="25"/>
      <c r="AA12" s="36"/>
      <c r="AB12" s="23"/>
      <c r="AC12" s="37"/>
      <c r="AD12" s="37"/>
      <c r="AE12" s="13"/>
      <c r="AF12" s="25"/>
      <c r="AG12" s="25"/>
      <c r="AH12" s="25"/>
      <c r="AI12" s="45"/>
      <c r="AJ12" s="25"/>
      <c r="AK12" s="25"/>
      <c r="AL12" s="25"/>
      <c r="AN12" s="25"/>
      <c r="AO12" s="25"/>
      <c r="AT12" s="5"/>
      <c r="AV12" s="5"/>
      <c r="AW12" s="5"/>
      <c r="AX12" s="5"/>
    </row>
    <row r="13" spans="1:66" ht="12.9" customHeight="1" x14ac:dyDescent="0.25">
      <c r="A13" s="9"/>
      <c r="C13" s="10"/>
      <c r="D13" s="10"/>
      <c r="F13" s="48"/>
      <c r="G13" s="17"/>
      <c r="H13" s="6"/>
      <c r="I13" s="6"/>
      <c r="L13" s="91"/>
      <c r="M13" s="87"/>
      <c r="N13" s="88"/>
      <c r="O13" s="84"/>
      <c r="P13" s="85"/>
      <c r="Q13" s="93"/>
      <c r="R13" s="94"/>
      <c r="S13" s="25"/>
      <c r="T13" s="33"/>
      <c r="U13" s="25"/>
      <c r="V13" s="25"/>
      <c r="W13" s="25"/>
      <c r="X13" s="25"/>
      <c r="Y13" s="25"/>
      <c r="Z13" s="25"/>
      <c r="AA13" s="25"/>
      <c r="AB13" s="25"/>
      <c r="AC13" s="13"/>
      <c r="AD13" s="13"/>
      <c r="AE13" s="25"/>
      <c r="AF13" s="25"/>
      <c r="AG13" s="25"/>
      <c r="AH13" s="25"/>
      <c r="AI13" s="49"/>
      <c r="AJ13" s="25"/>
      <c r="AK13" s="49"/>
      <c r="AO13" s="15"/>
      <c r="AT13" s="5"/>
      <c r="AV13" s="5"/>
      <c r="AW13" s="5"/>
      <c r="AX13" s="5"/>
    </row>
    <row r="14" spans="1:66" ht="12.75" customHeight="1" x14ac:dyDescent="0.25">
      <c r="A14" s="9"/>
      <c r="C14" s="10"/>
      <c r="D14" s="10"/>
      <c r="E14" s="12"/>
      <c r="F14" s="33"/>
      <c r="G14" s="33"/>
      <c r="H14" s="6"/>
      <c r="I14" s="6"/>
      <c r="J14" s="52"/>
      <c r="L14" s="13"/>
      <c r="M14" s="43"/>
      <c r="Q14" s="50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51"/>
      <c r="AD14" s="25"/>
      <c r="AE14" s="13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53"/>
      <c r="AQ14" s="13"/>
      <c r="AR14" s="76"/>
      <c r="AS14" s="41"/>
      <c r="AT14" s="23"/>
      <c r="AV14" s="23"/>
      <c r="AW14" s="5"/>
      <c r="AX14" s="5"/>
    </row>
    <row r="15" spans="1:66" s="18" customFormat="1" ht="12.9" customHeight="1" x14ac:dyDescent="0.25">
      <c r="A15" s="54"/>
      <c r="B15" s="17"/>
      <c r="E15" s="55"/>
      <c r="F15" s="47"/>
      <c r="G15" s="43"/>
      <c r="H15" s="17"/>
      <c r="I15" s="17"/>
      <c r="J15" s="52"/>
      <c r="K15" s="17"/>
      <c r="L15" s="17"/>
      <c r="M15" s="17"/>
      <c r="N15" s="49">
        <f>SUM(N20:N51)</f>
        <v>1503311.7</v>
      </c>
      <c r="O15" s="3"/>
      <c r="P15" s="54"/>
      <c r="Q15" s="33"/>
      <c r="R15" s="49">
        <f>SUM(R20:R51)</f>
        <v>1503311.7</v>
      </c>
      <c r="S15" s="49" t="e">
        <f>SUM(#REF!)</f>
        <v>#REF!</v>
      </c>
      <c r="T15" s="49" t="e">
        <f>SUM(#REF!)</f>
        <v>#REF!</v>
      </c>
      <c r="U15" s="49" t="e">
        <f>SUM(#REF!)</f>
        <v>#REF!</v>
      </c>
      <c r="V15" s="49" t="e">
        <f>SUM(#REF!)</f>
        <v>#REF!</v>
      </c>
      <c r="W15" s="49" t="e">
        <f>SUM(#REF!)</f>
        <v>#REF!</v>
      </c>
      <c r="X15" s="49" t="e">
        <f>SUM(#REF!)</f>
        <v>#REF!</v>
      </c>
      <c r="Y15" s="49" t="e">
        <f>SUM(#REF!)</f>
        <v>#REF!</v>
      </c>
      <c r="Z15" s="49" t="e">
        <f>SUM(#REF!)</f>
        <v>#REF!</v>
      </c>
      <c r="AA15" s="49" t="e">
        <f>SUM(#REF!)</f>
        <v>#REF!</v>
      </c>
      <c r="AB15" s="49" t="e">
        <f>SUM(#REF!)</f>
        <v>#REF!</v>
      </c>
      <c r="AC15" s="49"/>
      <c r="AD15" s="49"/>
      <c r="AE15" s="49" t="e">
        <f>SUM(#REF!)</f>
        <v>#REF!</v>
      </c>
      <c r="AF15" s="49"/>
      <c r="AG15" s="49">
        <f>SUM(AG20:AG51)</f>
        <v>0</v>
      </c>
      <c r="AH15" s="49" t="e">
        <f>SUM(#REF!)</f>
        <v>#REF!</v>
      </c>
      <c r="AI15" s="49" t="e">
        <f>SUM(#REF!)</f>
        <v>#REF!</v>
      </c>
      <c r="AJ15" s="49" t="e">
        <f>SUM(#REF!)</f>
        <v>#REF!</v>
      </c>
      <c r="AK15" s="49" t="e">
        <f>SUM(#REF!)</f>
        <v>#REF!</v>
      </c>
      <c r="AL15" s="49" t="e">
        <f>SUM(#REF!)</f>
        <v>#REF!</v>
      </c>
      <c r="AM15" s="49" t="e">
        <f>SUM(#REF!)</f>
        <v>#REF!</v>
      </c>
      <c r="AN15" s="49" t="e">
        <f>SUM(#REF!)</f>
        <v>#REF!</v>
      </c>
      <c r="AO15" s="49" t="e">
        <f>SUM(#REF!)</f>
        <v>#REF!</v>
      </c>
      <c r="AP15" s="49"/>
      <c r="AQ15" s="17"/>
      <c r="AR15" s="78"/>
      <c r="AS15" s="56"/>
      <c r="AU15" s="3"/>
      <c r="AW15" s="57"/>
      <c r="AX15" s="3"/>
      <c r="AZ15" s="98"/>
    </row>
    <row r="16" spans="1:66" s="5" customFormat="1" ht="13.5" customHeight="1" x14ac:dyDescent="0.25">
      <c r="A16" s="58" t="s">
        <v>53</v>
      </c>
      <c r="B16" s="58" t="s">
        <v>68</v>
      </c>
      <c r="C16" s="58" t="s">
        <v>54</v>
      </c>
      <c r="D16" s="59" t="s">
        <v>54</v>
      </c>
      <c r="E16" s="58" t="s">
        <v>54</v>
      </c>
      <c r="F16" s="58" t="s">
        <v>54</v>
      </c>
      <c r="G16" s="60" t="s">
        <v>54</v>
      </c>
      <c r="H16" s="60" t="s">
        <v>54</v>
      </c>
      <c r="I16" s="6"/>
      <c r="J16" s="60" t="s">
        <v>54</v>
      </c>
      <c r="K16" s="60" t="s">
        <v>54</v>
      </c>
      <c r="L16" s="60" t="s">
        <v>54</v>
      </c>
      <c r="M16" s="58" t="s">
        <v>54</v>
      </c>
      <c r="N16" s="58" t="s">
        <v>54</v>
      </c>
      <c r="O16" s="58" t="s">
        <v>54</v>
      </c>
      <c r="P16" s="61" t="s">
        <v>54</v>
      </c>
      <c r="Q16" s="61" t="s">
        <v>54</v>
      </c>
      <c r="R16" s="58" t="s">
        <v>54</v>
      </c>
      <c r="S16" s="58" t="s">
        <v>54</v>
      </c>
      <c r="T16" s="58" t="s">
        <v>54</v>
      </c>
      <c r="U16" s="58"/>
      <c r="V16" s="58" t="s">
        <v>54</v>
      </c>
      <c r="W16" s="59" t="s">
        <v>54</v>
      </c>
      <c r="X16" s="62" t="s">
        <v>54</v>
      </c>
      <c r="Y16" s="59" t="s">
        <v>54</v>
      </c>
      <c r="Z16" s="59" t="s">
        <v>59</v>
      </c>
      <c r="AA16" s="59" t="s">
        <v>59</v>
      </c>
      <c r="AB16" s="59" t="s">
        <v>54</v>
      </c>
      <c r="AC16" s="59" t="s">
        <v>54</v>
      </c>
      <c r="AD16" s="61" t="s">
        <v>54</v>
      </c>
      <c r="AE16" s="59" t="s">
        <v>54</v>
      </c>
      <c r="AF16" s="61" t="s">
        <v>54</v>
      </c>
      <c r="AG16" s="58" t="s">
        <v>54</v>
      </c>
      <c r="AH16" s="58" t="s">
        <v>54</v>
      </c>
      <c r="AI16" s="58" t="s">
        <v>54</v>
      </c>
      <c r="AJ16" s="58" t="s">
        <v>54</v>
      </c>
      <c r="AK16" s="59" t="s">
        <v>54</v>
      </c>
      <c r="AL16" s="58" t="s">
        <v>54</v>
      </c>
      <c r="AM16" s="59" t="s">
        <v>54</v>
      </c>
      <c r="AN16" s="59"/>
      <c r="AO16" s="59" t="s">
        <v>54</v>
      </c>
      <c r="AP16" s="58" t="s">
        <v>54</v>
      </c>
      <c r="AQ16" s="63" t="s">
        <v>54</v>
      </c>
      <c r="AR16" s="101" t="s">
        <v>81</v>
      </c>
      <c r="AS16" s="60" t="s">
        <v>69</v>
      </c>
      <c r="AT16" s="60" t="s">
        <v>69</v>
      </c>
      <c r="AU16" s="60" t="s">
        <v>69</v>
      </c>
      <c r="AV16" s="60" t="s">
        <v>69</v>
      </c>
      <c r="AW16" s="60" t="s">
        <v>69</v>
      </c>
      <c r="AX16" s="60" t="s">
        <v>69</v>
      </c>
      <c r="AY16" s="60" t="s">
        <v>69</v>
      </c>
      <c r="AZ16" s="99" t="s">
        <v>69</v>
      </c>
      <c r="BA16" s="60" t="s">
        <v>69</v>
      </c>
      <c r="BB16" s="60" t="s">
        <v>69</v>
      </c>
    </row>
    <row r="17" spans="1:67" s="5" customFormat="1" ht="13.5" customHeight="1" x14ac:dyDescent="0.25">
      <c r="A17" s="64" t="s">
        <v>28</v>
      </c>
      <c r="B17" s="6"/>
      <c r="C17" s="6"/>
      <c r="D17" s="37"/>
      <c r="E17" s="65"/>
      <c r="F17" s="65"/>
      <c r="G17" s="66"/>
      <c r="H17" s="66"/>
      <c r="I17" s="6"/>
      <c r="J17" s="6"/>
      <c r="K17" s="6"/>
      <c r="L17" s="6"/>
      <c r="M17" s="66"/>
      <c r="N17" s="25"/>
      <c r="O17" s="13" t="s">
        <v>51</v>
      </c>
      <c r="P17" s="64" t="s">
        <v>29</v>
      </c>
      <c r="Q17" s="24" t="s">
        <v>30</v>
      </c>
      <c r="R17" s="13" t="s">
        <v>31</v>
      </c>
      <c r="S17" s="80" t="s">
        <v>70</v>
      </c>
      <c r="T17" s="13" t="s">
        <v>64</v>
      </c>
      <c r="U17" s="13" t="s">
        <v>64</v>
      </c>
      <c r="V17" s="37" t="s">
        <v>33</v>
      </c>
      <c r="W17" s="37" t="s">
        <v>45</v>
      </c>
      <c r="X17" s="37" t="s">
        <v>47</v>
      </c>
      <c r="Y17" s="23"/>
      <c r="Z17" s="37" t="s">
        <v>60</v>
      </c>
      <c r="AA17" s="37" t="s">
        <v>67</v>
      </c>
      <c r="AB17" s="13" t="s">
        <v>36</v>
      </c>
      <c r="AC17" s="37" t="s">
        <v>50</v>
      </c>
      <c r="AD17" s="64"/>
      <c r="AE17" s="7"/>
      <c r="AF17" s="64"/>
      <c r="AG17" s="7"/>
      <c r="AH17" s="7"/>
      <c r="AI17" s="13" t="s">
        <v>34</v>
      </c>
      <c r="AJ17" s="7"/>
      <c r="AK17" s="13" t="s">
        <v>35</v>
      </c>
      <c r="AL17" s="13"/>
      <c r="AM17" s="13" t="s">
        <v>36</v>
      </c>
      <c r="AN17" s="13" t="s">
        <v>57</v>
      </c>
      <c r="AO17" s="13" t="s">
        <v>21</v>
      </c>
      <c r="AP17" s="13" t="s">
        <v>37</v>
      </c>
      <c r="AQ17" s="67"/>
      <c r="AR17" s="79"/>
      <c r="AS17" s="68"/>
      <c r="AT17" s="41"/>
      <c r="AV17" s="13" t="s">
        <v>39</v>
      </c>
      <c r="AW17" s="1"/>
      <c r="AX17" s="1"/>
      <c r="AY17" s="13" t="s">
        <v>62</v>
      </c>
      <c r="AZ17" s="100"/>
      <c r="BA17" s="37"/>
      <c r="BB17" s="37"/>
    </row>
    <row r="18" spans="1:67" s="5" customFormat="1" ht="13.5" customHeight="1" x14ac:dyDescent="0.25">
      <c r="A18" s="64" t="s">
        <v>30</v>
      </c>
      <c r="B18" s="69" t="s">
        <v>40</v>
      </c>
      <c r="C18" s="69" t="s">
        <v>32</v>
      </c>
      <c r="D18" s="13" t="s">
        <v>41</v>
      </c>
      <c r="E18" s="70" t="s">
        <v>42</v>
      </c>
      <c r="F18" s="70" t="s">
        <v>0</v>
      </c>
      <c r="G18" s="66" t="s">
        <v>1</v>
      </c>
      <c r="H18" s="66" t="s">
        <v>43</v>
      </c>
      <c r="I18" s="69" t="s">
        <v>2</v>
      </c>
      <c r="J18" s="69" t="s">
        <v>3</v>
      </c>
      <c r="K18" s="69" t="s">
        <v>4</v>
      </c>
      <c r="L18" s="66" t="s">
        <v>5</v>
      </c>
      <c r="M18" s="66" t="s">
        <v>6</v>
      </c>
      <c r="N18" s="25" t="s">
        <v>7</v>
      </c>
      <c r="O18" s="13" t="s">
        <v>52</v>
      </c>
      <c r="P18" s="24" t="s">
        <v>30</v>
      </c>
      <c r="Q18" s="64" t="s">
        <v>8</v>
      </c>
      <c r="R18" s="13" t="s">
        <v>33</v>
      </c>
      <c r="S18" s="71"/>
      <c r="T18" s="13" t="s">
        <v>58</v>
      </c>
      <c r="U18" s="13" t="s">
        <v>65</v>
      </c>
      <c r="V18" s="13" t="s">
        <v>10</v>
      </c>
      <c r="W18" s="13" t="s">
        <v>46</v>
      </c>
      <c r="X18" s="13" t="s">
        <v>48</v>
      </c>
      <c r="Y18" s="13" t="s">
        <v>9</v>
      </c>
      <c r="Z18" s="13" t="s">
        <v>61</v>
      </c>
      <c r="AA18" s="13" t="s">
        <v>66</v>
      </c>
      <c r="AB18" s="13"/>
      <c r="AC18" s="13" t="s">
        <v>49</v>
      </c>
      <c r="AD18" s="64" t="s">
        <v>11</v>
      </c>
      <c r="AE18" s="13" t="s">
        <v>12</v>
      </c>
      <c r="AF18" s="64" t="s">
        <v>13</v>
      </c>
      <c r="AG18" s="13" t="s">
        <v>14</v>
      </c>
      <c r="AH18" s="13" t="s">
        <v>15</v>
      </c>
      <c r="AI18" s="13" t="s">
        <v>16</v>
      </c>
      <c r="AJ18" s="13" t="s">
        <v>17</v>
      </c>
      <c r="AK18" s="13" t="s">
        <v>18</v>
      </c>
      <c r="AL18" s="13" t="s">
        <v>19</v>
      </c>
      <c r="AM18" s="13" t="s">
        <v>20</v>
      </c>
      <c r="AN18" s="72">
        <v>0.05</v>
      </c>
      <c r="AO18" s="13" t="s">
        <v>56</v>
      </c>
      <c r="AP18" s="13" t="s">
        <v>21</v>
      </c>
      <c r="AQ18" s="67" t="s">
        <v>44</v>
      </c>
      <c r="AR18" s="69" t="s">
        <v>22</v>
      </c>
      <c r="AS18" s="68" t="s">
        <v>23</v>
      </c>
      <c r="AT18" s="68" t="s">
        <v>24</v>
      </c>
      <c r="AU18" s="73" t="s">
        <v>38</v>
      </c>
      <c r="AV18" s="13" t="s">
        <v>25</v>
      </c>
      <c r="AW18" s="73" t="s">
        <v>26</v>
      </c>
      <c r="AX18" s="73" t="s">
        <v>31</v>
      </c>
      <c r="AY18" s="13" t="s">
        <v>63</v>
      </c>
      <c r="AZ18" s="75">
        <v>46276</v>
      </c>
      <c r="BA18" s="74">
        <v>45863</v>
      </c>
      <c r="BB18" s="74">
        <v>45869</v>
      </c>
    </row>
    <row r="19" spans="1:67" s="5" customFormat="1" ht="13.5" customHeight="1" x14ac:dyDescent="0.25">
      <c r="A19" s="58" t="s">
        <v>53</v>
      </c>
      <c r="B19" s="58" t="s">
        <v>68</v>
      </c>
      <c r="C19" s="58" t="s">
        <v>54</v>
      </c>
      <c r="D19" s="59" t="s">
        <v>54</v>
      </c>
      <c r="E19" s="58" t="s">
        <v>54</v>
      </c>
      <c r="F19" s="58" t="s">
        <v>54</v>
      </c>
      <c r="G19" s="60" t="s">
        <v>54</v>
      </c>
      <c r="H19" s="60" t="s">
        <v>54</v>
      </c>
      <c r="I19" s="60" t="s">
        <v>54</v>
      </c>
      <c r="J19" s="60" t="s">
        <v>54</v>
      </c>
      <c r="K19" s="60" t="s">
        <v>54</v>
      </c>
      <c r="L19" s="60" t="s">
        <v>54</v>
      </c>
      <c r="M19" s="58" t="s">
        <v>54</v>
      </c>
      <c r="N19" s="58" t="s">
        <v>54</v>
      </c>
      <c r="O19" s="58" t="s">
        <v>54</v>
      </c>
      <c r="P19" s="61" t="s">
        <v>54</v>
      </c>
      <c r="Q19" s="61" t="s">
        <v>54</v>
      </c>
      <c r="R19" s="58" t="s">
        <v>54</v>
      </c>
      <c r="S19" s="58" t="s">
        <v>54</v>
      </c>
      <c r="T19" s="58" t="s">
        <v>54</v>
      </c>
      <c r="U19" s="58"/>
      <c r="V19" s="58" t="s">
        <v>54</v>
      </c>
      <c r="W19" s="59" t="s">
        <v>54</v>
      </c>
      <c r="X19" s="62" t="s">
        <v>54</v>
      </c>
      <c r="Y19" s="59" t="s">
        <v>54</v>
      </c>
      <c r="Z19" s="59" t="s">
        <v>59</v>
      </c>
      <c r="AA19" s="59" t="s">
        <v>59</v>
      </c>
      <c r="AB19" s="59" t="s">
        <v>54</v>
      </c>
      <c r="AC19" s="59" t="s">
        <v>54</v>
      </c>
      <c r="AD19" s="61" t="s">
        <v>54</v>
      </c>
      <c r="AE19" s="59" t="s">
        <v>54</v>
      </c>
      <c r="AF19" s="61" t="s">
        <v>54</v>
      </c>
      <c r="AG19" s="58" t="s">
        <v>54</v>
      </c>
      <c r="AH19" s="58" t="s">
        <v>54</v>
      </c>
      <c r="AI19" s="58" t="s">
        <v>54</v>
      </c>
      <c r="AJ19" s="58" t="s">
        <v>54</v>
      </c>
      <c r="AK19" s="59" t="s">
        <v>54</v>
      </c>
      <c r="AL19" s="58" t="s">
        <v>54</v>
      </c>
      <c r="AM19" s="59" t="s">
        <v>54</v>
      </c>
      <c r="AN19" s="59"/>
      <c r="AO19" s="59" t="s">
        <v>54</v>
      </c>
      <c r="AP19" s="58" t="s">
        <v>54</v>
      </c>
      <c r="AQ19" s="63" t="s">
        <v>54</v>
      </c>
      <c r="AR19" s="101" t="s">
        <v>81</v>
      </c>
      <c r="AS19" s="60" t="s">
        <v>69</v>
      </c>
      <c r="AT19" s="60" t="s">
        <v>69</v>
      </c>
      <c r="AU19" s="60" t="s">
        <v>69</v>
      </c>
      <c r="AV19" s="60" t="s">
        <v>69</v>
      </c>
      <c r="AW19" s="60" t="s">
        <v>69</v>
      </c>
      <c r="AX19" s="60" t="s">
        <v>69</v>
      </c>
      <c r="AY19" s="60" t="s">
        <v>69</v>
      </c>
      <c r="AZ19" s="99" t="s">
        <v>69</v>
      </c>
      <c r="BA19" s="60" t="s">
        <v>69</v>
      </c>
      <c r="BB19" s="60" t="s">
        <v>69</v>
      </c>
    </row>
    <row r="20" spans="1:67" s="152" customFormat="1" ht="13.5" customHeight="1" x14ac:dyDescent="0.25">
      <c r="A20" s="148">
        <v>46192</v>
      </c>
      <c r="B20" s="149" t="s">
        <v>152</v>
      </c>
      <c r="C20" s="150" t="s">
        <v>153</v>
      </c>
      <c r="D20" s="150" t="s">
        <v>154</v>
      </c>
      <c r="E20" s="119" t="s">
        <v>142</v>
      </c>
      <c r="F20" s="150" t="s">
        <v>155</v>
      </c>
      <c r="G20" s="151">
        <v>39993</v>
      </c>
      <c r="H20" s="151">
        <v>59182</v>
      </c>
      <c r="I20" s="122">
        <v>61503</v>
      </c>
      <c r="J20" s="116" t="s">
        <v>122</v>
      </c>
      <c r="K20" s="136" t="s">
        <v>82</v>
      </c>
      <c r="L20" s="137" t="s">
        <v>156</v>
      </c>
      <c r="M20" s="116">
        <v>2</v>
      </c>
      <c r="N20" s="124">
        <v>11920</v>
      </c>
      <c r="O20" s="136"/>
      <c r="P20" s="125">
        <v>46196</v>
      </c>
      <c r="Q20" s="125">
        <v>46196</v>
      </c>
      <c r="R20" s="124">
        <v>11920</v>
      </c>
      <c r="S20" s="124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40"/>
      <c r="AE20" s="139"/>
      <c r="AF20" s="140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42"/>
      <c r="AR20" s="136">
        <v>30</v>
      </c>
      <c r="AS20" s="131">
        <v>0.1</v>
      </c>
      <c r="AT20" s="131">
        <v>0.06</v>
      </c>
      <c r="AU20" s="127">
        <f t="shared" ref="AU20:AU28" si="2">AW20*0.05</f>
        <v>531.30000000000007</v>
      </c>
      <c r="AV20" s="132">
        <v>10626</v>
      </c>
      <c r="AW20" s="133">
        <f t="shared" ref="AW20:AW29" si="3">AV20+T20+U20+W20+X20+Y20+Z20+AC20+AI20+AB20+AA20</f>
        <v>10626</v>
      </c>
      <c r="AX20" s="133">
        <f t="shared" ref="AX20:AX29" si="4">AW20+AU20+AN20</f>
        <v>11157.3</v>
      </c>
      <c r="AY20" s="133">
        <f t="shared" ref="AY20:AY29" si="5">N20-AX20-V20</f>
        <v>762.70000000000073</v>
      </c>
      <c r="AZ20" s="110">
        <f t="shared" ref="AZ20:AZ29" si="6">$AZ$18-Q20</f>
        <v>80</v>
      </c>
      <c r="BA20" s="134">
        <f t="shared" ref="BA20:BA29" si="7">$BA$11-Q20</f>
        <v>-46196</v>
      </c>
      <c r="BB20" s="134">
        <f t="shared" ref="BB20:BB29" si="8">$BB$11-Q20</f>
        <v>-46196</v>
      </c>
      <c r="BC20" s="134">
        <f t="shared" ref="BC20:BC29" si="9">$BC$11-Q20</f>
        <v>-46196</v>
      </c>
    </row>
    <row r="21" spans="1:67" s="152" customFormat="1" ht="13.5" customHeight="1" x14ac:dyDescent="0.25">
      <c r="A21" s="118">
        <v>46163</v>
      </c>
      <c r="B21" s="116" t="s">
        <v>143</v>
      </c>
      <c r="C21" s="119" t="s">
        <v>144</v>
      </c>
      <c r="D21" s="150" t="s">
        <v>145</v>
      </c>
      <c r="E21" s="119" t="s">
        <v>96</v>
      </c>
      <c r="F21" s="119" t="s">
        <v>157</v>
      </c>
      <c r="G21" s="116"/>
      <c r="H21" s="151">
        <v>59088</v>
      </c>
      <c r="I21" s="122">
        <v>61270</v>
      </c>
      <c r="J21" s="116" t="s">
        <v>130</v>
      </c>
      <c r="K21" s="116" t="s">
        <v>90</v>
      </c>
      <c r="L21" s="123" t="s">
        <v>158</v>
      </c>
      <c r="M21" s="116">
        <v>1</v>
      </c>
      <c r="N21" s="124">
        <f>184800-92400</f>
        <v>92400</v>
      </c>
      <c r="O21" s="124"/>
      <c r="P21" s="125">
        <v>46183</v>
      </c>
      <c r="Q21" s="125">
        <v>46191</v>
      </c>
      <c r="R21" s="124">
        <f>184800-92400</f>
        <v>92400</v>
      </c>
      <c r="S21" s="126"/>
      <c r="T21" s="127"/>
      <c r="U21" s="127"/>
      <c r="V21" s="120">
        <v>8250</v>
      </c>
      <c r="W21" s="120"/>
      <c r="X21" s="128"/>
      <c r="Y21" s="120"/>
      <c r="Z21" s="120"/>
      <c r="AA21" s="120"/>
      <c r="AB21" s="120"/>
      <c r="AC21" s="120"/>
      <c r="AD21" s="129"/>
      <c r="AE21" s="127"/>
      <c r="AF21" s="129"/>
      <c r="AG21" s="127"/>
      <c r="AH21" s="127"/>
      <c r="AI21" s="127"/>
      <c r="AJ21" s="127"/>
      <c r="AK21" s="120"/>
      <c r="AL21" s="127"/>
      <c r="AM21" s="120"/>
      <c r="AN21" s="120"/>
      <c r="AO21" s="120"/>
      <c r="AP21" s="120"/>
      <c r="AQ21" s="130">
        <v>31741</v>
      </c>
      <c r="AR21" s="144" t="s">
        <v>159</v>
      </c>
      <c r="AS21" s="131">
        <v>1</v>
      </c>
      <c r="AT21" s="131">
        <v>0.31</v>
      </c>
      <c r="AU21" s="127">
        <f t="shared" si="2"/>
        <v>6720</v>
      </c>
      <c r="AV21" s="132">
        <v>134400</v>
      </c>
      <c r="AW21" s="133">
        <f t="shared" si="3"/>
        <v>134400</v>
      </c>
      <c r="AX21" s="133">
        <f t="shared" si="4"/>
        <v>141120</v>
      </c>
      <c r="AY21" s="133">
        <f t="shared" si="5"/>
        <v>-56970</v>
      </c>
      <c r="AZ21" s="110">
        <f t="shared" si="6"/>
        <v>85</v>
      </c>
      <c r="BA21" s="134">
        <f t="shared" si="7"/>
        <v>-46191</v>
      </c>
      <c r="BB21" s="134">
        <f t="shared" si="8"/>
        <v>-46191</v>
      </c>
      <c r="BC21" s="134">
        <f t="shared" si="9"/>
        <v>-46191</v>
      </c>
    </row>
    <row r="22" spans="1:67" s="152" customFormat="1" ht="13.5" customHeight="1" x14ac:dyDescent="0.25">
      <c r="A22" s="118">
        <v>46122</v>
      </c>
      <c r="B22" s="116" t="s">
        <v>164</v>
      </c>
      <c r="C22" s="119" t="s">
        <v>165</v>
      </c>
      <c r="D22" s="120" t="s">
        <v>166</v>
      </c>
      <c r="E22" s="119" t="s">
        <v>121</v>
      </c>
      <c r="F22" s="112" t="s">
        <v>167</v>
      </c>
      <c r="G22" s="151">
        <v>39939</v>
      </c>
      <c r="H22" s="151">
        <v>59116</v>
      </c>
      <c r="I22" s="122">
        <v>60797</v>
      </c>
      <c r="J22" s="116" t="s">
        <v>137</v>
      </c>
      <c r="K22" s="116" t="s">
        <v>138</v>
      </c>
      <c r="L22" s="123">
        <v>3877</v>
      </c>
      <c r="M22" s="116">
        <v>1</v>
      </c>
      <c r="N22" s="124">
        <v>9600</v>
      </c>
      <c r="O22" s="124"/>
      <c r="P22" s="125">
        <v>46189</v>
      </c>
      <c r="Q22" s="125">
        <v>46189</v>
      </c>
      <c r="R22" s="126">
        <v>9600</v>
      </c>
      <c r="S22" s="126"/>
      <c r="T22" s="127"/>
      <c r="U22" s="127"/>
      <c r="V22" s="120"/>
      <c r="W22" s="120"/>
      <c r="X22" s="128"/>
      <c r="Y22" s="120"/>
      <c r="Z22" s="120">
        <v>336</v>
      </c>
      <c r="AA22" s="120"/>
      <c r="AB22" s="120"/>
      <c r="AC22" s="120"/>
      <c r="AD22" s="129"/>
      <c r="AE22" s="127"/>
      <c r="AF22" s="129"/>
      <c r="AG22" s="127"/>
      <c r="AH22" s="127"/>
      <c r="AI22" s="127"/>
      <c r="AJ22" s="127"/>
      <c r="AK22" s="120"/>
      <c r="AL22" s="127"/>
      <c r="AM22" s="120"/>
      <c r="AN22" s="120"/>
      <c r="AO22" s="120"/>
      <c r="AP22" s="120"/>
      <c r="AQ22" s="130"/>
      <c r="AR22" s="116">
        <v>90</v>
      </c>
      <c r="AS22" s="131">
        <v>0.03</v>
      </c>
      <c r="AT22" s="131">
        <v>0.03</v>
      </c>
      <c r="AU22" s="127">
        <f t="shared" si="2"/>
        <v>395.88049999999998</v>
      </c>
      <c r="AV22" s="132">
        <v>7581.61</v>
      </c>
      <c r="AW22" s="133">
        <f t="shared" si="3"/>
        <v>7917.61</v>
      </c>
      <c r="AX22" s="133">
        <f t="shared" si="4"/>
        <v>8313.4904999999999</v>
      </c>
      <c r="AY22" s="133">
        <f t="shared" si="5"/>
        <v>1286.5095000000001</v>
      </c>
      <c r="AZ22" s="110">
        <f t="shared" si="6"/>
        <v>87</v>
      </c>
      <c r="BA22" s="134">
        <f t="shared" si="7"/>
        <v>-46189</v>
      </c>
      <c r="BB22" s="134">
        <f t="shared" si="8"/>
        <v>-46189</v>
      </c>
      <c r="BC22" s="134">
        <f t="shared" si="9"/>
        <v>-46189</v>
      </c>
    </row>
    <row r="23" spans="1:67" s="152" customFormat="1" ht="13.5" customHeight="1" x14ac:dyDescent="0.25">
      <c r="A23" s="118">
        <v>46177</v>
      </c>
      <c r="B23" s="116" t="s">
        <v>114</v>
      </c>
      <c r="C23" s="119" t="s">
        <v>115</v>
      </c>
      <c r="D23" s="120" t="s">
        <v>116</v>
      </c>
      <c r="E23" s="119" t="s">
        <v>117</v>
      </c>
      <c r="F23" s="150" t="s">
        <v>118</v>
      </c>
      <c r="G23" s="151">
        <v>39922</v>
      </c>
      <c r="H23" s="151">
        <v>59095</v>
      </c>
      <c r="I23" s="122">
        <v>61381</v>
      </c>
      <c r="J23" s="116" t="s">
        <v>113</v>
      </c>
      <c r="K23" s="116" t="s">
        <v>88</v>
      </c>
      <c r="L23" s="123">
        <v>4500692829</v>
      </c>
      <c r="M23" s="116">
        <v>3</v>
      </c>
      <c r="N23" s="124">
        <v>18599.990000000002</v>
      </c>
      <c r="O23" s="124"/>
      <c r="P23" s="125">
        <v>46184</v>
      </c>
      <c r="Q23" s="125">
        <v>46184</v>
      </c>
      <c r="R23" s="126">
        <v>18599.990000000002</v>
      </c>
      <c r="S23" s="126"/>
      <c r="T23" s="127"/>
      <c r="U23" s="127"/>
      <c r="V23" s="120"/>
      <c r="W23" s="120"/>
      <c r="X23" s="128"/>
      <c r="Y23" s="120"/>
      <c r="Z23" s="120"/>
      <c r="AA23" s="120"/>
      <c r="AB23" s="120"/>
      <c r="AC23" s="120"/>
      <c r="AD23" s="129"/>
      <c r="AE23" s="127"/>
      <c r="AF23" s="129"/>
      <c r="AG23" s="127"/>
      <c r="AH23" s="127"/>
      <c r="AI23" s="127"/>
      <c r="AJ23" s="127"/>
      <c r="AK23" s="120"/>
      <c r="AL23" s="127"/>
      <c r="AM23" s="120"/>
      <c r="AN23" s="120"/>
      <c r="AO23" s="120"/>
      <c r="AP23" s="120"/>
      <c r="AQ23" s="130"/>
      <c r="AR23" s="116">
        <v>30</v>
      </c>
      <c r="AS23" s="131">
        <v>1</v>
      </c>
      <c r="AT23" s="131">
        <v>0.14000000000000001</v>
      </c>
      <c r="AU23" s="127">
        <f t="shared" si="2"/>
        <v>772.80000000000007</v>
      </c>
      <c r="AV23" s="132">
        <v>15456</v>
      </c>
      <c r="AW23" s="133">
        <f t="shared" si="3"/>
        <v>15456</v>
      </c>
      <c r="AX23" s="133">
        <f t="shared" si="4"/>
        <v>16228.8</v>
      </c>
      <c r="AY23" s="133">
        <f t="shared" si="5"/>
        <v>2371.1900000000023</v>
      </c>
      <c r="AZ23" s="110">
        <f t="shared" si="6"/>
        <v>92</v>
      </c>
      <c r="BA23" s="134">
        <f t="shared" si="7"/>
        <v>-46184</v>
      </c>
      <c r="BB23" s="134">
        <f t="shared" si="8"/>
        <v>-46184</v>
      </c>
      <c r="BC23" s="134">
        <f t="shared" si="9"/>
        <v>-46184</v>
      </c>
    </row>
    <row r="24" spans="1:67" s="152" customFormat="1" ht="13.5" customHeight="1" x14ac:dyDescent="0.25">
      <c r="A24" s="118">
        <v>46170</v>
      </c>
      <c r="B24" s="116" t="s">
        <v>102</v>
      </c>
      <c r="C24" s="119" t="s">
        <v>110</v>
      </c>
      <c r="D24" s="120" t="s">
        <v>109</v>
      </c>
      <c r="E24" s="119" t="s">
        <v>111</v>
      </c>
      <c r="F24" s="112" t="s">
        <v>112</v>
      </c>
      <c r="G24" s="153"/>
      <c r="H24" s="153">
        <v>59031</v>
      </c>
      <c r="I24" s="122">
        <v>61310</v>
      </c>
      <c r="J24" s="116" t="s">
        <v>85</v>
      </c>
      <c r="K24" s="116" t="s">
        <v>82</v>
      </c>
      <c r="L24" s="123" t="s">
        <v>84</v>
      </c>
      <c r="M24" s="116">
        <v>1</v>
      </c>
      <c r="N24" s="124">
        <v>281620</v>
      </c>
      <c r="O24" s="124"/>
      <c r="P24" s="135">
        <v>46176</v>
      </c>
      <c r="Q24" s="135">
        <v>46176</v>
      </c>
      <c r="R24" s="126">
        <v>281620</v>
      </c>
      <c r="S24" s="126"/>
      <c r="T24" s="127">
        <v>20700</v>
      </c>
      <c r="U24" s="127"/>
      <c r="V24" s="120"/>
      <c r="W24" s="120"/>
      <c r="X24" s="128"/>
      <c r="Y24" s="120"/>
      <c r="Z24" s="120"/>
      <c r="AA24" s="120"/>
      <c r="AB24" s="120"/>
      <c r="AC24" s="120"/>
      <c r="AD24" s="129"/>
      <c r="AE24" s="127"/>
      <c r="AF24" s="129"/>
      <c r="AG24" s="127"/>
      <c r="AH24" s="127"/>
      <c r="AI24" s="127"/>
      <c r="AJ24" s="127"/>
      <c r="AK24" s="120"/>
      <c r="AL24" s="127"/>
      <c r="AM24" s="120"/>
      <c r="AN24" s="120"/>
      <c r="AO24" s="120"/>
      <c r="AP24" s="120"/>
      <c r="AQ24" s="130"/>
      <c r="AR24" s="116">
        <v>30</v>
      </c>
      <c r="AS24" s="131">
        <v>1</v>
      </c>
      <c r="AT24" s="131">
        <v>0.14000000000000001</v>
      </c>
      <c r="AU24" s="127">
        <f t="shared" si="2"/>
        <v>11700.6</v>
      </c>
      <c r="AV24" s="132">
        <v>213312</v>
      </c>
      <c r="AW24" s="133">
        <f t="shared" si="3"/>
        <v>234012</v>
      </c>
      <c r="AX24" s="133">
        <f t="shared" si="4"/>
        <v>245712.6</v>
      </c>
      <c r="AY24" s="133">
        <f t="shared" si="5"/>
        <v>35907.399999999994</v>
      </c>
      <c r="AZ24" s="110">
        <f t="shared" si="6"/>
        <v>100</v>
      </c>
      <c r="BA24" s="134">
        <f t="shared" si="7"/>
        <v>-46176</v>
      </c>
      <c r="BB24" s="134">
        <f t="shared" si="8"/>
        <v>-46176</v>
      </c>
      <c r="BC24" s="134">
        <f t="shared" si="9"/>
        <v>-46176</v>
      </c>
    </row>
    <row r="25" spans="1:67" s="111" customFormat="1" ht="15" customHeight="1" x14ac:dyDescent="0.25">
      <c r="A25" s="118">
        <v>46153</v>
      </c>
      <c r="B25" s="116" t="s">
        <v>105</v>
      </c>
      <c r="C25" s="150" t="s">
        <v>99</v>
      </c>
      <c r="D25" s="150" t="s">
        <v>100</v>
      </c>
      <c r="E25" s="119" t="s">
        <v>106</v>
      </c>
      <c r="F25" s="150" t="s">
        <v>107</v>
      </c>
      <c r="G25" s="151">
        <v>39738</v>
      </c>
      <c r="H25" s="151">
        <v>58864</v>
      </c>
      <c r="I25" s="122">
        <v>61113</v>
      </c>
      <c r="J25" s="116" t="s">
        <v>101</v>
      </c>
      <c r="K25" s="116" t="s">
        <v>97</v>
      </c>
      <c r="L25" s="123">
        <v>254276</v>
      </c>
      <c r="M25" s="116">
        <v>3</v>
      </c>
      <c r="N25" s="124">
        <v>49500</v>
      </c>
      <c r="O25" s="124"/>
      <c r="P25" s="125">
        <v>46163</v>
      </c>
      <c r="Q25" s="125">
        <v>46163</v>
      </c>
      <c r="R25" s="126">
        <v>49500</v>
      </c>
      <c r="S25" s="126"/>
      <c r="T25" s="127"/>
      <c r="U25" s="127"/>
      <c r="V25" s="120"/>
      <c r="W25" s="120">
        <v>1500</v>
      </c>
      <c r="X25" s="128"/>
      <c r="Y25" s="120"/>
      <c r="Z25" s="120"/>
      <c r="AA25" s="120"/>
      <c r="AB25" s="120"/>
      <c r="AC25" s="120"/>
      <c r="AD25" s="129"/>
      <c r="AE25" s="124"/>
      <c r="AF25" s="129"/>
      <c r="AG25" s="127"/>
      <c r="AH25" s="127"/>
      <c r="AI25" s="127"/>
      <c r="AJ25" s="127"/>
      <c r="AK25" s="120"/>
      <c r="AL25" s="127"/>
      <c r="AM25" s="120"/>
      <c r="AN25" s="120"/>
      <c r="AO25" s="120"/>
      <c r="AP25" s="120"/>
      <c r="AQ25" s="130"/>
      <c r="AR25" s="116">
        <v>30</v>
      </c>
      <c r="AS25" s="131">
        <v>1</v>
      </c>
      <c r="AT25" s="131">
        <v>0.16</v>
      </c>
      <c r="AU25" s="127">
        <f t="shared" si="2"/>
        <v>2025</v>
      </c>
      <c r="AV25" s="132">
        <v>39000</v>
      </c>
      <c r="AW25" s="133">
        <f t="shared" si="3"/>
        <v>40500</v>
      </c>
      <c r="AX25" s="133">
        <f t="shared" si="4"/>
        <v>42525</v>
      </c>
      <c r="AY25" s="133">
        <f t="shared" si="5"/>
        <v>6975</v>
      </c>
      <c r="AZ25" s="110">
        <f t="shared" si="6"/>
        <v>113</v>
      </c>
      <c r="BA25" s="134">
        <f t="shared" si="7"/>
        <v>-46163</v>
      </c>
      <c r="BB25" s="134">
        <f t="shared" si="8"/>
        <v>-46163</v>
      </c>
      <c r="BC25" s="134">
        <f t="shared" si="9"/>
        <v>-46163</v>
      </c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</row>
    <row r="26" spans="1:67" s="111" customFormat="1" ht="15" customHeight="1" x14ac:dyDescent="0.25">
      <c r="A26" s="118">
        <v>46156</v>
      </c>
      <c r="B26" s="116" t="s">
        <v>102</v>
      </c>
      <c r="C26" s="119" t="s">
        <v>103</v>
      </c>
      <c r="D26" s="120" t="s">
        <v>104</v>
      </c>
      <c r="E26" s="119" t="s">
        <v>98</v>
      </c>
      <c r="F26" s="150" t="s">
        <v>108</v>
      </c>
      <c r="G26" s="151">
        <v>39695</v>
      </c>
      <c r="H26" s="151">
        <v>58818</v>
      </c>
      <c r="I26" s="122">
        <v>61156</v>
      </c>
      <c r="J26" s="116" t="s">
        <v>85</v>
      </c>
      <c r="K26" s="116" t="s">
        <v>82</v>
      </c>
      <c r="L26" s="123" t="s">
        <v>84</v>
      </c>
      <c r="M26" s="116">
        <v>4</v>
      </c>
      <c r="N26" s="124">
        <v>459800</v>
      </c>
      <c r="O26" s="124"/>
      <c r="P26" s="125">
        <v>46161</v>
      </c>
      <c r="Q26" s="125">
        <v>46161</v>
      </c>
      <c r="R26" s="126">
        <v>459800</v>
      </c>
      <c r="S26" s="126"/>
      <c r="T26" s="127">
        <v>6900</v>
      </c>
      <c r="U26" s="127"/>
      <c r="V26" s="120"/>
      <c r="W26" s="120"/>
      <c r="X26" s="128"/>
      <c r="Y26" s="120"/>
      <c r="Z26" s="120"/>
      <c r="AA26" s="120"/>
      <c r="AB26" s="120"/>
      <c r="AC26" s="120"/>
      <c r="AD26" s="129"/>
      <c r="AE26" s="127"/>
      <c r="AF26" s="129"/>
      <c r="AG26" s="127"/>
      <c r="AH26" s="127"/>
      <c r="AI26" s="127"/>
      <c r="AJ26" s="127"/>
      <c r="AK26" s="120"/>
      <c r="AL26" s="127"/>
      <c r="AM26" s="120"/>
      <c r="AN26" s="120"/>
      <c r="AO26" s="120"/>
      <c r="AP26" s="120">
        <f>0.48+0.48</f>
        <v>0.96</v>
      </c>
      <c r="AQ26" s="130"/>
      <c r="AR26" s="116">
        <v>30</v>
      </c>
      <c r="AS26" s="131">
        <v>1</v>
      </c>
      <c r="AT26" s="131">
        <v>0.13</v>
      </c>
      <c r="AU26" s="127">
        <f t="shared" si="2"/>
        <v>19345</v>
      </c>
      <c r="AV26" s="132">
        <v>380000</v>
      </c>
      <c r="AW26" s="133">
        <f t="shared" si="3"/>
        <v>386900</v>
      </c>
      <c r="AX26" s="133">
        <f t="shared" si="4"/>
        <v>406245</v>
      </c>
      <c r="AY26" s="133">
        <f t="shared" si="5"/>
        <v>53555</v>
      </c>
      <c r="AZ26" s="110">
        <f t="shared" si="6"/>
        <v>115</v>
      </c>
      <c r="BA26" s="134">
        <f t="shared" si="7"/>
        <v>-46161</v>
      </c>
      <c r="BB26" s="134">
        <f t="shared" si="8"/>
        <v>-46161</v>
      </c>
      <c r="BC26" s="134">
        <f t="shared" si="9"/>
        <v>-46161</v>
      </c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</row>
    <row r="27" spans="1:67" s="152" customFormat="1" ht="13.5" customHeight="1" x14ac:dyDescent="0.25">
      <c r="A27" s="118">
        <v>46052</v>
      </c>
      <c r="B27" s="116" t="s">
        <v>211</v>
      </c>
      <c r="C27" s="119" t="s">
        <v>212</v>
      </c>
      <c r="D27" s="103" t="s">
        <v>213</v>
      </c>
      <c r="E27" s="119" t="s">
        <v>214</v>
      </c>
      <c r="F27" s="103" t="s">
        <v>215</v>
      </c>
      <c r="G27" s="116">
        <v>39830</v>
      </c>
      <c r="H27" s="116">
        <v>58985</v>
      </c>
      <c r="I27" s="122">
        <v>60070</v>
      </c>
      <c r="J27" s="116" t="s">
        <v>216</v>
      </c>
      <c r="K27" s="116" t="s">
        <v>82</v>
      </c>
      <c r="L27" s="123">
        <v>4505002182</v>
      </c>
      <c r="M27" s="116">
        <v>1</v>
      </c>
      <c r="N27" s="124">
        <v>548580</v>
      </c>
      <c r="O27" s="124"/>
      <c r="P27" s="125">
        <v>46148</v>
      </c>
      <c r="Q27" s="125">
        <v>46148</v>
      </c>
      <c r="R27" s="124">
        <v>548580</v>
      </c>
      <c r="S27" s="126"/>
      <c r="T27" s="127"/>
      <c r="U27" s="127"/>
      <c r="V27" s="120"/>
      <c r="W27" s="120"/>
      <c r="X27" s="120">
        <v>16000</v>
      </c>
      <c r="Y27" s="120"/>
      <c r="Z27" s="120"/>
      <c r="AA27" s="120"/>
      <c r="AB27" s="120"/>
      <c r="AC27" s="120"/>
      <c r="AD27" s="129"/>
      <c r="AE27" s="127"/>
      <c r="AF27" s="129"/>
      <c r="AG27" s="127"/>
      <c r="AH27" s="127"/>
      <c r="AI27" s="127"/>
      <c r="AJ27" s="127"/>
      <c r="AK27" s="120"/>
      <c r="AL27" s="127"/>
      <c r="AM27" s="120"/>
      <c r="AN27" s="120"/>
      <c r="AO27" s="120"/>
      <c r="AP27" s="120"/>
      <c r="AQ27" s="130"/>
      <c r="AR27" s="116">
        <v>60</v>
      </c>
      <c r="AS27" s="131">
        <v>1</v>
      </c>
      <c r="AT27" s="131">
        <v>0.13</v>
      </c>
      <c r="AU27" s="127">
        <f t="shared" si="2"/>
        <v>97630</v>
      </c>
      <c r="AV27" s="132">
        <v>1936600</v>
      </c>
      <c r="AW27" s="133">
        <f t="shared" si="3"/>
        <v>1952600</v>
      </c>
      <c r="AX27" s="133">
        <f t="shared" si="4"/>
        <v>2050230</v>
      </c>
      <c r="AY27" s="133">
        <f t="shared" si="5"/>
        <v>-1501650</v>
      </c>
      <c r="AZ27" s="110">
        <f t="shared" si="6"/>
        <v>128</v>
      </c>
      <c r="BA27" s="134">
        <f t="shared" si="7"/>
        <v>-46148</v>
      </c>
      <c r="BB27" s="134">
        <f t="shared" si="8"/>
        <v>-46148</v>
      </c>
      <c r="BC27" s="134">
        <f t="shared" si="9"/>
        <v>-46148</v>
      </c>
      <c r="BD27" s="134">
        <f>$BD$11-Q27</f>
        <v>-46148</v>
      </c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</row>
    <row r="28" spans="1:67" s="152" customFormat="1" ht="13.5" customHeight="1" x14ac:dyDescent="0.25">
      <c r="A28" s="118">
        <v>46052</v>
      </c>
      <c r="B28" s="116" t="s">
        <v>211</v>
      </c>
      <c r="C28" s="119" t="s">
        <v>212</v>
      </c>
      <c r="D28" s="103" t="s">
        <v>213</v>
      </c>
      <c r="E28" s="119" t="s">
        <v>214</v>
      </c>
      <c r="F28" s="103" t="s">
        <v>215</v>
      </c>
      <c r="G28" s="116">
        <v>39830</v>
      </c>
      <c r="H28" s="116">
        <v>58989</v>
      </c>
      <c r="I28" s="122">
        <v>60070</v>
      </c>
      <c r="J28" s="116" t="s">
        <v>216</v>
      </c>
      <c r="K28" s="116" t="s">
        <v>82</v>
      </c>
      <c r="L28" s="123">
        <v>4505002182</v>
      </c>
      <c r="M28" s="116">
        <v>1</v>
      </c>
      <c r="N28" s="124">
        <f>391840-381344.29</f>
        <v>10495.710000000021</v>
      </c>
      <c r="O28" s="124"/>
      <c r="P28" s="125">
        <v>46148</v>
      </c>
      <c r="Q28" s="125">
        <v>46148</v>
      </c>
      <c r="R28" s="124">
        <f>391840-381344.29</f>
        <v>10495.710000000021</v>
      </c>
      <c r="S28" s="126"/>
      <c r="T28" s="127"/>
      <c r="U28" s="127"/>
      <c r="V28" s="120"/>
      <c r="W28" s="120"/>
      <c r="X28" s="120">
        <v>16000</v>
      </c>
      <c r="Y28" s="120"/>
      <c r="Z28" s="120"/>
      <c r="AA28" s="120"/>
      <c r="AB28" s="120"/>
      <c r="AC28" s="120"/>
      <c r="AD28" s="129"/>
      <c r="AE28" s="127"/>
      <c r="AF28" s="129"/>
      <c r="AG28" s="127"/>
      <c r="AH28" s="127"/>
      <c r="AI28" s="127"/>
      <c r="AJ28" s="127"/>
      <c r="AK28" s="120"/>
      <c r="AL28" s="127"/>
      <c r="AM28" s="120"/>
      <c r="AN28" s="120"/>
      <c r="AO28" s="120"/>
      <c r="AP28" s="120"/>
      <c r="AQ28" s="130"/>
      <c r="AR28" s="116">
        <v>60</v>
      </c>
      <c r="AS28" s="131">
        <v>1</v>
      </c>
      <c r="AT28" s="131">
        <v>0.13</v>
      </c>
      <c r="AU28" s="127">
        <f t="shared" si="2"/>
        <v>97630</v>
      </c>
      <c r="AV28" s="132">
        <v>1936600</v>
      </c>
      <c r="AW28" s="133">
        <f t="shared" si="3"/>
        <v>1952600</v>
      </c>
      <c r="AX28" s="133">
        <f t="shared" si="4"/>
        <v>2050230</v>
      </c>
      <c r="AY28" s="133">
        <f t="shared" si="5"/>
        <v>-2039734.29</v>
      </c>
      <c r="AZ28" s="110">
        <f t="shared" si="6"/>
        <v>128</v>
      </c>
      <c r="BA28" s="134">
        <f t="shared" si="7"/>
        <v>-46148</v>
      </c>
      <c r="BB28" s="134">
        <f t="shared" si="8"/>
        <v>-46148</v>
      </c>
      <c r="BC28" s="134">
        <f t="shared" si="9"/>
        <v>-46148</v>
      </c>
      <c r="BD28" s="134">
        <f>$BD$11-Q28</f>
        <v>-46148</v>
      </c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</row>
    <row r="29" spans="1:67" s="152" customFormat="1" ht="13.5" customHeight="1" x14ac:dyDescent="0.25">
      <c r="A29" s="118">
        <v>46104</v>
      </c>
      <c r="B29" s="116" t="s">
        <v>89</v>
      </c>
      <c r="C29" s="119" t="s">
        <v>93</v>
      </c>
      <c r="D29" s="120" t="s">
        <v>86</v>
      </c>
      <c r="E29" s="119" t="s">
        <v>83</v>
      </c>
      <c r="F29" s="150" t="s">
        <v>94</v>
      </c>
      <c r="G29" s="154" t="s">
        <v>95</v>
      </c>
      <c r="H29" s="154" t="s">
        <v>95</v>
      </c>
      <c r="I29" s="122">
        <v>60589</v>
      </c>
      <c r="J29" s="116" t="s">
        <v>87</v>
      </c>
      <c r="K29" s="116"/>
      <c r="L29" s="123"/>
      <c r="M29" s="116">
        <v>1</v>
      </c>
      <c r="N29" s="124">
        <v>20796</v>
      </c>
      <c r="O29" s="124"/>
      <c r="P29" s="125">
        <v>46142</v>
      </c>
      <c r="Q29" s="125">
        <v>46142</v>
      </c>
      <c r="R29" s="126">
        <v>20796</v>
      </c>
      <c r="S29" s="126"/>
      <c r="T29" s="127"/>
      <c r="U29" s="127"/>
      <c r="V29" s="120"/>
      <c r="W29" s="120"/>
      <c r="X29" s="128"/>
      <c r="Y29" s="120"/>
      <c r="Z29" s="120"/>
      <c r="AA29" s="120"/>
      <c r="AB29" s="120"/>
      <c r="AC29" s="120"/>
      <c r="AD29" s="129"/>
      <c r="AE29" s="127"/>
      <c r="AF29" s="129"/>
      <c r="AG29" s="127"/>
      <c r="AH29" s="127"/>
      <c r="AI29" s="127"/>
      <c r="AJ29" s="127"/>
      <c r="AK29" s="120"/>
      <c r="AL29" s="127"/>
      <c r="AM29" s="120"/>
      <c r="AN29" s="120"/>
      <c r="AO29" s="120"/>
      <c r="AP29" s="120"/>
      <c r="AQ29" s="130"/>
      <c r="AR29" s="116" t="s">
        <v>92</v>
      </c>
      <c r="AS29" s="131">
        <v>0</v>
      </c>
      <c r="AT29" s="131">
        <v>0</v>
      </c>
      <c r="AU29" s="127"/>
      <c r="AV29" s="132">
        <v>20796</v>
      </c>
      <c r="AW29" s="133">
        <f t="shared" si="3"/>
        <v>20796</v>
      </c>
      <c r="AX29" s="133">
        <f t="shared" si="4"/>
        <v>20796</v>
      </c>
      <c r="AY29" s="133">
        <f t="shared" si="5"/>
        <v>0</v>
      </c>
      <c r="AZ29" s="110">
        <f t="shared" si="6"/>
        <v>134</v>
      </c>
      <c r="BA29" s="134">
        <f t="shared" si="7"/>
        <v>-46142</v>
      </c>
      <c r="BB29" s="134">
        <f t="shared" si="8"/>
        <v>-46142</v>
      </c>
      <c r="BC29" s="134">
        <f t="shared" si="9"/>
        <v>-46142</v>
      </c>
    </row>
    <row r="30" spans="1:67" s="111" customFormat="1" ht="15" customHeight="1" x14ac:dyDescent="0.25">
      <c r="A30" s="118"/>
      <c r="B30" s="116"/>
      <c r="C30" s="119"/>
      <c r="D30" s="103"/>
      <c r="E30" s="119"/>
      <c r="F30" s="119"/>
      <c r="G30" s="116"/>
      <c r="H30" s="121"/>
      <c r="I30" s="122"/>
      <c r="J30" s="116"/>
      <c r="K30" s="116"/>
      <c r="L30" s="123"/>
      <c r="M30" s="116"/>
      <c r="N30" s="124"/>
      <c r="O30" s="124"/>
      <c r="P30" s="125"/>
      <c r="Q30" s="125"/>
      <c r="R30" s="124"/>
      <c r="S30" s="126"/>
      <c r="T30" s="127"/>
      <c r="U30" s="127"/>
      <c r="V30" s="120"/>
      <c r="W30" s="120"/>
      <c r="X30" s="128"/>
      <c r="Y30" s="120"/>
      <c r="Z30" s="120"/>
      <c r="AA30" s="120"/>
      <c r="AB30" s="120"/>
      <c r="AC30" s="120"/>
      <c r="AD30" s="129"/>
      <c r="AE30" s="127"/>
      <c r="AF30" s="129"/>
      <c r="AG30" s="127"/>
      <c r="AH30" s="127"/>
      <c r="AI30" s="127"/>
      <c r="AJ30" s="127"/>
      <c r="AK30" s="120"/>
      <c r="AL30" s="127"/>
      <c r="AM30" s="120"/>
      <c r="AN30" s="120"/>
      <c r="AO30" s="120"/>
      <c r="AP30" s="120"/>
      <c r="AQ30" s="130"/>
      <c r="AR30" s="144"/>
      <c r="AS30" s="131"/>
      <c r="AT30" s="131"/>
      <c r="AU30" s="127"/>
      <c r="AV30" s="132"/>
      <c r="AW30" s="133"/>
      <c r="AX30" s="133"/>
      <c r="AY30" s="133"/>
      <c r="AZ30" s="110"/>
      <c r="BA30" s="134"/>
      <c r="BB30" s="134"/>
      <c r="BC30" s="134"/>
      <c r="BD30" s="134"/>
    </row>
    <row r="31" spans="1:67" s="111" customFormat="1" ht="15" customHeight="1" x14ac:dyDescent="0.25">
      <c r="A31" s="135"/>
      <c r="B31" s="136"/>
      <c r="C31" s="103"/>
      <c r="D31" s="103"/>
      <c r="E31" s="119"/>
      <c r="F31" s="103"/>
      <c r="G31" s="121"/>
      <c r="H31" s="121"/>
      <c r="I31" s="122"/>
      <c r="J31" s="116"/>
      <c r="K31" s="116"/>
      <c r="L31" s="137"/>
      <c r="M31" s="116"/>
      <c r="N31" s="124"/>
      <c r="O31" s="136"/>
      <c r="P31" s="125"/>
      <c r="Q31" s="125"/>
      <c r="R31" s="124"/>
      <c r="S31" s="126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40"/>
      <c r="AE31" s="139"/>
      <c r="AF31" s="140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42"/>
      <c r="AR31" s="136"/>
      <c r="AS31" s="131"/>
      <c r="AT31" s="131"/>
      <c r="AU31" s="127"/>
      <c r="AV31" s="132"/>
      <c r="AW31" s="133"/>
      <c r="AX31" s="133"/>
      <c r="AY31" s="133"/>
      <c r="AZ31" s="110"/>
      <c r="BA31" s="134"/>
      <c r="BB31" s="134"/>
      <c r="BC31" s="134"/>
      <c r="BD31" s="134"/>
    </row>
    <row r="32" spans="1:67" s="111" customFormat="1" ht="15" customHeight="1" x14ac:dyDescent="0.25">
      <c r="A32" s="118"/>
      <c r="B32" s="116"/>
      <c r="C32" s="119"/>
      <c r="D32" s="120"/>
      <c r="E32" s="119"/>
      <c r="F32" s="112"/>
      <c r="G32" s="121"/>
      <c r="H32" s="121"/>
      <c r="I32" s="122"/>
      <c r="J32" s="116"/>
      <c r="K32" s="116"/>
      <c r="L32" s="123"/>
      <c r="M32" s="116"/>
      <c r="N32" s="124"/>
      <c r="O32" s="124"/>
      <c r="P32" s="125"/>
      <c r="Q32" s="181"/>
      <c r="R32" s="126"/>
      <c r="S32" s="126"/>
      <c r="T32" s="127"/>
      <c r="U32" s="127"/>
      <c r="V32" s="120"/>
      <c r="W32" s="120"/>
      <c r="X32" s="128"/>
      <c r="Y32" s="120"/>
      <c r="Z32" s="120"/>
      <c r="AA32" s="120"/>
      <c r="AB32" s="120"/>
      <c r="AC32" s="120"/>
      <c r="AD32" s="129"/>
      <c r="AE32" s="127"/>
      <c r="AF32" s="129"/>
      <c r="AG32" s="127"/>
      <c r="AH32" s="127"/>
      <c r="AI32" s="127"/>
      <c r="AJ32" s="127"/>
      <c r="AK32" s="120"/>
      <c r="AL32" s="127"/>
      <c r="AM32" s="120"/>
      <c r="AN32" s="120"/>
      <c r="AO32" s="120"/>
      <c r="AP32" s="120"/>
      <c r="AQ32" s="130"/>
      <c r="AR32" s="116"/>
      <c r="AS32" s="131"/>
      <c r="AT32" s="131"/>
      <c r="AU32" s="127"/>
      <c r="AV32" s="132"/>
      <c r="AW32" s="133"/>
      <c r="AX32" s="133"/>
      <c r="AY32" s="133"/>
      <c r="AZ32" s="110"/>
      <c r="BA32" s="134"/>
      <c r="BB32" s="134"/>
      <c r="BC32" s="134"/>
      <c r="BD32" s="134"/>
    </row>
    <row r="33" spans="1:56" s="111" customFormat="1" ht="15" customHeight="1" x14ac:dyDescent="0.25">
      <c r="A33" s="118"/>
      <c r="B33" s="116"/>
      <c r="C33" s="119"/>
      <c r="D33" s="120"/>
      <c r="E33" s="119"/>
      <c r="F33" s="103"/>
      <c r="G33" s="121"/>
      <c r="H33" s="121"/>
      <c r="I33" s="122"/>
      <c r="J33" s="116"/>
      <c r="K33" s="116"/>
      <c r="L33" s="123"/>
      <c r="M33" s="116"/>
      <c r="N33" s="124"/>
      <c r="O33" s="124"/>
      <c r="P33" s="125"/>
      <c r="Q33" s="181"/>
      <c r="R33" s="126"/>
      <c r="S33" s="126"/>
      <c r="T33" s="127"/>
      <c r="U33" s="127"/>
      <c r="V33" s="120"/>
      <c r="W33" s="120"/>
      <c r="X33" s="128"/>
      <c r="Y33" s="120"/>
      <c r="Z33" s="120"/>
      <c r="AA33" s="120"/>
      <c r="AB33" s="120"/>
      <c r="AC33" s="120"/>
      <c r="AD33" s="129"/>
      <c r="AE33" s="127"/>
      <c r="AF33" s="129"/>
      <c r="AG33" s="127"/>
      <c r="AH33" s="127"/>
      <c r="AI33" s="127"/>
      <c r="AJ33" s="127"/>
      <c r="AK33" s="120"/>
      <c r="AL33" s="127"/>
      <c r="AM33" s="120"/>
      <c r="AN33" s="120"/>
      <c r="AO33" s="120"/>
      <c r="AP33" s="120"/>
      <c r="AQ33" s="130"/>
      <c r="AR33" s="116"/>
      <c r="AS33" s="131"/>
      <c r="AT33" s="131"/>
      <c r="AU33" s="127"/>
      <c r="AV33" s="132"/>
      <c r="AW33" s="133"/>
      <c r="AX33" s="133"/>
      <c r="AY33" s="133"/>
      <c r="AZ33" s="110"/>
      <c r="BA33" s="134"/>
      <c r="BB33" s="134"/>
      <c r="BC33" s="134"/>
      <c r="BD33" s="134"/>
    </row>
    <row r="34" spans="1:56" s="111" customFormat="1" ht="15" customHeight="1" x14ac:dyDescent="0.25">
      <c r="A34" s="118"/>
      <c r="B34" s="116"/>
      <c r="C34" s="119"/>
      <c r="D34" s="120"/>
      <c r="E34" s="119"/>
      <c r="F34" s="112"/>
      <c r="G34" s="142"/>
      <c r="H34" s="142"/>
      <c r="I34" s="122"/>
      <c r="J34" s="116"/>
      <c r="K34" s="116"/>
      <c r="L34" s="123"/>
      <c r="M34" s="116"/>
      <c r="N34" s="124"/>
      <c r="O34" s="124"/>
      <c r="P34" s="135"/>
      <c r="Q34" s="182"/>
      <c r="R34" s="126"/>
      <c r="S34" s="126"/>
      <c r="T34" s="127"/>
      <c r="U34" s="127"/>
      <c r="V34" s="120"/>
      <c r="W34" s="120"/>
      <c r="X34" s="128"/>
      <c r="Y34" s="120"/>
      <c r="Z34" s="120"/>
      <c r="AA34" s="120"/>
      <c r="AB34" s="120"/>
      <c r="AC34" s="120"/>
      <c r="AD34" s="129"/>
      <c r="AE34" s="127"/>
      <c r="AF34" s="129"/>
      <c r="AG34" s="127"/>
      <c r="AH34" s="127"/>
      <c r="AI34" s="127"/>
      <c r="AJ34" s="127"/>
      <c r="AK34" s="120"/>
      <c r="AL34" s="127"/>
      <c r="AM34" s="120"/>
      <c r="AN34" s="120"/>
      <c r="AO34" s="120"/>
      <c r="AP34" s="120"/>
      <c r="AQ34" s="130"/>
      <c r="AR34" s="116"/>
      <c r="AS34" s="131"/>
      <c r="AT34" s="131"/>
      <c r="AU34" s="127"/>
      <c r="AV34" s="132"/>
      <c r="AW34" s="133"/>
      <c r="AX34" s="133"/>
      <c r="AY34" s="133"/>
      <c r="AZ34" s="110"/>
      <c r="BA34" s="134"/>
      <c r="BB34" s="134"/>
      <c r="BC34" s="134"/>
      <c r="BD34" s="134"/>
    </row>
    <row r="35" spans="1:56" s="111" customFormat="1" ht="15" customHeight="1" x14ac:dyDescent="0.25">
      <c r="A35" s="118"/>
      <c r="B35" s="116"/>
      <c r="C35" s="119"/>
      <c r="D35" s="103"/>
      <c r="E35" s="119"/>
      <c r="F35" s="103"/>
      <c r="G35" s="121"/>
      <c r="H35" s="121"/>
      <c r="I35" s="122"/>
      <c r="J35" s="116"/>
      <c r="K35" s="116"/>
      <c r="L35" s="123"/>
      <c r="M35" s="116"/>
      <c r="N35" s="124"/>
      <c r="O35" s="124"/>
      <c r="P35" s="125"/>
      <c r="Q35" s="181"/>
      <c r="R35" s="126"/>
      <c r="S35" s="126"/>
      <c r="T35" s="127"/>
      <c r="U35" s="127"/>
      <c r="V35" s="120"/>
      <c r="W35" s="120"/>
      <c r="X35" s="128"/>
      <c r="Y35" s="120"/>
      <c r="Z35" s="120"/>
      <c r="AA35" s="120"/>
      <c r="AB35" s="120"/>
      <c r="AC35" s="120"/>
      <c r="AD35" s="129"/>
      <c r="AE35" s="127"/>
      <c r="AF35" s="129"/>
      <c r="AG35" s="127"/>
      <c r="AH35" s="127"/>
      <c r="AI35" s="127"/>
      <c r="AJ35" s="127"/>
      <c r="AK35" s="120"/>
      <c r="AL35" s="127"/>
      <c r="AM35" s="120"/>
      <c r="AN35" s="120"/>
      <c r="AO35" s="120"/>
      <c r="AP35" s="120"/>
      <c r="AQ35" s="130"/>
      <c r="AR35" s="116"/>
      <c r="AS35" s="131"/>
      <c r="AT35" s="131"/>
      <c r="AU35" s="127"/>
      <c r="AV35" s="132"/>
      <c r="AW35" s="133"/>
      <c r="AX35" s="133"/>
      <c r="AY35" s="133"/>
      <c r="AZ35" s="110"/>
      <c r="BA35" s="134"/>
      <c r="BB35" s="134"/>
      <c r="BC35" s="134"/>
      <c r="BD35" s="134"/>
    </row>
    <row r="36" spans="1:56" s="111" customFormat="1" ht="15" customHeight="1" x14ac:dyDescent="0.25">
      <c r="A36" s="118"/>
      <c r="B36" s="116"/>
      <c r="C36" s="119"/>
      <c r="D36" s="103"/>
      <c r="E36" s="119"/>
      <c r="F36" s="103"/>
      <c r="G36" s="121"/>
      <c r="H36" s="121"/>
      <c r="I36" s="122"/>
      <c r="J36" s="116"/>
      <c r="K36" s="116"/>
      <c r="L36" s="123"/>
      <c r="M36" s="116"/>
      <c r="N36" s="124"/>
      <c r="O36" s="124"/>
      <c r="P36" s="125"/>
      <c r="Q36" s="181"/>
      <c r="R36" s="126"/>
      <c r="S36" s="126"/>
      <c r="T36" s="127"/>
      <c r="U36" s="127"/>
      <c r="V36" s="120"/>
      <c r="W36" s="120"/>
      <c r="X36" s="128"/>
      <c r="Y36" s="120"/>
      <c r="Z36" s="120"/>
      <c r="AA36" s="120"/>
      <c r="AB36" s="120"/>
      <c r="AC36" s="120"/>
      <c r="AD36" s="129"/>
      <c r="AE36" s="127"/>
      <c r="AF36" s="129"/>
      <c r="AG36" s="127"/>
      <c r="AH36" s="127"/>
      <c r="AI36" s="127"/>
      <c r="AJ36" s="127"/>
      <c r="AK36" s="120"/>
      <c r="AL36" s="127"/>
      <c r="AM36" s="120"/>
      <c r="AN36" s="120"/>
      <c r="AO36" s="120"/>
      <c r="AP36" s="120"/>
      <c r="AQ36" s="130"/>
      <c r="AR36" s="116"/>
      <c r="AS36" s="131"/>
      <c r="AT36" s="131"/>
      <c r="AU36" s="127"/>
      <c r="AV36" s="132"/>
      <c r="AW36" s="133"/>
      <c r="AX36" s="133"/>
      <c r="AY36" s="133"/>
      <c r="AZ36" s="110"/>
      <c r="BA36" s="134"/>
      <c r="BB36" s="134"/>
      <c r="BC36" s="134"/>
      <c r="BD36" s="134"/>
    </row>
    <row r="37" spans="1:56" s="111" customFormat="1" ht="15" customHeight="1" x14ac:dyDescent="0.25">
      <c r="A37" s="118"/>
      <c r="B37" s="116"/>
      <c r="C37" s="119"/>
      <c r="D37" s="103"/>
      <c r="E37" s="119"/>
      <c r="F37" s="103"/>
      <c r="G37" s="121"/>
      <c r="H37" s="121"/>
      <c r="I37" s="122"/>
      <c r="J37" s="116"/>
      <c r="K37" s="116"/>
      <c r="L37" s="123"/>
      <c r="M37" s="116"/>
      <c r="N37" s="124"/>
      <c r="O37" s="124"/>
      <c r="P37" s="125"/>
      <c r="Q37" s="181"/>
      <c r="R37" s="126"/>
      <c r="S37" s="126"/>
      <c r="T37" s="127"/>
      <c r="U37" s="127"/>
      <c r="V37" s="120"/>
      <c r="W37" s="120"/>
      <c r="X37" s="128"/>
      <c r="Y37" s="120"/>
      <c r="Z37" s="120"/>
      <c r="AA37" s="120"/>
      <c r="AB37" s="120"/>
      <c r="AC37" s="120"/>
      <c r="AD37" s="129"/>
      <c r="AE37" s="127"/>
      <c r="AF37" s="129"/>
      <c r="AG37" s="127"/>
      <c r="AH37" s="127"/>
      <c r="AI37" s="127"/>
      <c r="AJ37" s="127"/>
      <c r="AK37" s="120"/>
      <c r="AL37" s="127"/>
      <c r="AM37" s="120"/>
      <c r="AN37" s="120"/>
      <c r="AO37" s="120"/>
      <c r="AP37" s="120"/>
      <c r="AQ37" s="130"/>
      <c r="AR37" s="116"/>
      <c r="AS37" s="131"/>
      <c r="AT37" s="131"/>
      <c r="AU37" s="127"/>
      <c r="AV37" s="132"/>
      <c r="AW37" s="133"/>
      <c r="AX37" s="133"/>
      <c r="AY37" s="133"/>
      <c r="AZ37" s="110"/>
      <c r="BA37" s="134"/>
      <c r="BB37" s="134"/>
      <c r="BC37" s="134"/>
      <c r="BD37" s="134"/>
    </row>
    <row r="38" spans="1:56" s="111" customFormat="1" ht="15" customHeight="1" x14ac:dyDescent="0.25">
      <c r="A38" s="118"/>
      <c r="B38" s="116"/>
      <c r="C38" s="119"/>
      <c r="D38" s="103"/>
      <c r="E38" s="119"/>
      <c r="F38" s="103"/>
      <c r="G38" s="116"/>
      <c r="H38" s="136"/>
      <c r="I38" s="122"/>
      <c r="J38" s="116"/>
      <c r="K38" s="116"/>
      <c r="L38" s="123"/>
      <c r="M38" s="116"/>
      <c r="N38" s="124"/>
      <c r="O38" s="124"/>
      <c r="P38" s="118"/>
      <c r="Q38" s="183"/>
      <c r="R38" s="126"/>
      <c r="S38" s="126"/>
      <c r="T38" s="127"/>
      <c r="U38" s="127"/>
      <c r="V38" s="120"/>
      <c r="W38" s="120"/>
      <c r="X38" s="120"/>
      <c r="Y38" s="120"/>
      <c r="Z38" s="120"/>
      <c r="AA38" s="120"/>
      <c r="AB38" s="120"/>
      <c r="AC38" s="120"/>
      <c r="AD38" s="129"/>
      <c r="AE38" s="127"/>
      <c r="AF38" s="129"/>
      <c r="AG38" s="127"/>
      <c r="AH38" s="127"/>
      <c r="AI38" s="127"/>
      <c r="AJ38" s="127"/>
      <c r="AK38" s="120"/>
      <c r="AL38" s="127"/>
      <c r="AM38" s="120"/>
      <c r="AN38" s="120"/>
      <c r="AO38" s="120"/>
      <c r="AP38" s="120"/>
      <c r="AQ38" s="130"/>
      <c r="AR38" s="116"/>
      <c r="AS38" s="131"/>
      <c r="AT38" s="131"/>
      <c r="AU38" s="127"/>
      <c r="AV38" s="132"/>
      <c r="AW38" s="133"/>
      <c r="AX38" s="133"/>
      <c r="AY38" s="133"/>
      <c r="AZ38" s="110"/>
      <c r="BA38" s="134"/>
      <c r="BB38" s="134"/>
      <c r="BC38" s="134"/>
      <c r="BD38" s="134"/>
    </row>
    <row r="39" spans="1:56" s="111" customFormat="1" ht="15" customHeight="1" x14ac:dyDescent="0.25">
      <c r="A39" s="118"/>
      <c r="B39" s="116"/>
      <c r="C39" s="119"/>
      <c r="D39" s="103"/>
      <c r="E39" s="119"/>
      <c r="F39" s="103"/>
      <c r="G39" s="116"/>
      <c r="H39" s="116"/>
      <c r="I39" s="122"/>
      <c r="J39" s="116"/>
      <c r="K39" s="116"/>
      <c r="L39" s="123"/>
      <c r="M39" s="116"/>
      <c r="N39" s="124"/>
      <c r="O39" s="124"/>
      <c r="P39" s="118"/>
      <c r="Q39" s="118"/>
      <c r="R39" s="126"/>
      <c r="S39" s="126"/>
      <c r="T39" s="127"/>
      <c r="U39" s="127"/>
      <c r="V39" s="120"/>
      <c r="W39" s="120"/>
      <c r="X39" s="120"/>
      <c r="Y39" s="120"/>
      <c r="Z39" s="120"/>
      <c r="AA39" s="120"/>
      <c r="AB39" s="120"/>
      <c r="AC39" s="120"/>
      <c r="AD39" s="129"/>
      <c r="AE39" s="127"/>
      <c r="AF39" s="129"/>
      <c r="AG39" s="127"/>
      <c r="AH39" s="127"/>
      <c r="AI39" s="127"/>
      <c r="AJ39" s="127"/>
      <c r="AK39" s="120"/>
      <c r="AL39" s="127"/>
      <c r="AM39" s="120"/>
      <c r="AN39" s="120"/>
      <c r="AO39" s="120"/>
      <c r="AP39" s="120"/>
      <c r="AQ39" s="130"/>
      <c r="AR39" s="116"/>
      <c r="AS39" s="131"/>
      <c r="AT39" s="131"/>
      <c r="AU39" s="127"/>
      <c r="AV39" s="132"/>
      <c r="AW39" s="133"/>
      <c r="AX39" s="133"/>
      <c r="AY39" s="133"/>
      <c r="AZ39" s="110"/>
      <c r="BA39" s="134"/>
      <c r="BB39" s="134"/>
      <c r="BC39" s="134"/>
      <c r="BD39" s="134"/>
    </row>
    <row r="40" spans="1:56" s="111" customFormat="1" ht="15" customHeight="1" x14ac:dyDescent="0.25">
      <c r="A40" s="118"/>
      <c r="B40" s="116"/>
      <c r="C40" s="103"/>
      <c r="D40" s="103"/>
      <c r="E40" s="119"/>
      <c r="F40" s="103"/>
      <c r="G40" s="121"/>
      <c r="H40" s="121"/>
      <c r="I40" s="122"/>
      <c r="J40" s="116"/>
      <c r="K40" s="116"/>
      <c r="L40" s="123"/>
      <c r="M40" s="116"/>
      <c r="N40" s="124"/>
      <c r="O40" s="124"/>
      <c r="P40" s="125"/>
      <c r="Q40" s="125"/>
      <c r="R40" s="126"/>
      <c r="S40" s="126"/>
      <c r="T40" s="127"/>
      <c r="U40" s="127"/>
      <c r="V40" s="120"/>
      <c r="W40" s="120"/>
      <c r="X40" s="128"/>
      <c r="Y40" s="120"/>
      <c r="Z40" s="120"/>
      <c r="AA40" s="120"/>
      <c r="AB40" s="120"/>
      <c r="AC40" s="120"/>
      <c r="AD40" s="129"/>
      <c r="AE40" s="124"/>
      <c r="AF40" s="129"/>
      <c r="AG40" s="127"/>
      <c r="AH40" s="127"/>
      <c r="AI40" s="127"/>
      <c r="AJ40" s="127"/>
      <c r="AK40" s="120"/>
      <c r="AL40" s="127"/>
      <c r="AM40" s="120"/>
      <c r="AN40" s="120"/>
      <c r="AO40" s="120"/>
      <c r="AP40" s="120"/>
      <c r="AQ40" s="130"/>
      <c r="AR40" s="116"/>
      <c r="AS40" s="131"/>
      <c r="AT40" s="131"/>
      <c r="AU40" s="127"/>
      <c r="AV40" s="132"/>
      <c r="AW40" s="133"/>
      <c r="AX40" s="133"/>
      <c r="AY40" s="133"/>
      <c r="AZ40" s="110"/>
      <c r="BA40" s="134"/>
      <c r="BB40" s="134"/>
      <c r="BC40" s="134"/>
      <c r="BD40" s="134"/>
    </row>
    <row r="41" spans="1:56" s="111" customFormat="1" ht="15" customHeight="1" x14ac:dyDescent="0.25">
      <c r="A41" s="118"/>
      <c r="B41" s="116"/>
      <c r="C41" s="119"/>
      <c r="D41" s="120"/>
      <c r="E41" s="119"/>
      <c r="F41" s="103"/>
      <c r="G41" s="121"/>
      <c r="H41" s="121"/>
      <c r="I41" s="122"/>
      <c r="J41" s="116"/>
      <c r="K41" s="116"/>
      <c r="L41" s="123"/>
      <c r="M41" s="116"/>
      <c r="N41" s="124"/>
      <c r="O41" s="124"/>
      <c r="P41" s="125"/>
      <c r="Q41" s="125"/>
      <c r="R41" s="126"/>
      <c r="S41" s="126"/>
      <c r="T41" s="127"/>
      <c r="U41" s="127"/>
      <c r="V41" s="120"/>
      <c r="W41" s="120"/>
      <c r="X41" s="128"/>
      <c r="Y41" s="120"/>
      <c r="Z41" s="120"/>
      <c r="AA41" s="120"/>
      <c r="AB41" s="120"/>
      <c r="AC41" s="120"/>
      <c r="AD41" s="129"/>
      <c r="AE41" s="127"/>
      <c r="AF41" s="129"/>
      <c r="AG41" s="127"/>
      <c r="AH41" s="127"/>
      <c r="AI41" s="127"/>
      <c r="AJ41" s="127"/>
      <c r="AK41" s="120"/>
      <c r="AL41" s="127"/>
      <c r="AM41" s="120"/>
      <c r="AN41" s="120"/>
      <c r="AO41" s="120"/>
      <c r="AP41" s="120"/>
      <c r="AQ41" s="130"/>
      <c r="AR41" s="116"/>
      <c r="AS41" s="131"/>
      <c r="AT41" s="131"/>
      <c r="AU41" s="127"/>
      <c r="AV41" s="132"/>
      <c r="AW41" s="133"/>
      <c r="AX41" s="133"/>
      <c r="AY41" s="133"/>
      <c r="AZ41" s="110"/>
      <c r="BA41" s="134"/>
      <c r="BB41" s="134"/>
      <c r="BC41" s="134"/>
      <c r="BD41" s="134"/>
    </row>
    <row r="42" spans="1:56" s="111" customFormat="1" ht="15" customHeight="1" x14ac:dyDescent="0.25">
      <c r="A42" s="21"/>
      <c r="B42" s="19"/>
      <c r="C42" s="22"/>
      <c r="D42" s="95"/>
      <c r="E42" s="22"/>
      <c r="F42" s="103"/>
      <c r="G42" s="19"/>
      <c r="H42" s="104"/>
      <c r="I42" s="26"/>
      <c r="J42" s="19"/>
      <c r="K42" s="19"/>
      <c r="L42" s="115"/>
      <c r="M42" s="19"/>
      <c r="N42" s="109"/>
      <c r="O42" s="109"/>
      <c r="P42" s="96"/>
      <c r="Q42" s="96"/>
      <c r="R42" s="109"/>
      <c r="S42" s="20"/>
      <c r="T42" s="27"/>
      <c r="U42" s="27"/>
      <c r="V42" s="95"/>
      <c r="W42" s="95"/>
      <c r="X42" s="28"/>
      <c r="Y42" s="95"/>
      <c r="Z42" s="28"/>
      <c r="AA42" s="95"/>
      <c r="AB42" s="95"/>
      <c r="AC42" s="95"/>
      <c r="AD42" s="114"/>
      <c r="AE42" s="20"/>
      <c r="AF42" s="114"/>
      <c r="AG42" s="20"/>
      <c r="AH42" s="27"/>
      <c r="AI42" s="27"/>
      <c r="AJ42" s="27"/>
      <c r="AK42" s="95"/>
      <c r="AL42" s="113"/>
      <c r="AM42" s="95"/>
      <c r="AN42" s="95"/>
      <c r="AO42" s="95"/>
      <c r="AP42" s="95"/>
      <c r="AQ42" s="29"/>
      <c r="AR42" s="22"/>
      <c r="AS42" s="30"/>
      <c r="AT42" s="30"/>
      <c r="AU42" s="27"/>
      <c r="AV42" s="31"/>
      <c r="AW42" s="32"/>
      <c r="AX42" s="32"/>
      <c r="AY42" s="32"/>
      <c r="AZ42" s="110"/>
      <c r="BA42" s="134"/>
      <c r="BB42" s="134"/>
      <c r="BC42" s="134"/>
      <c r="BD42" s="134"/>
    </row>
    <row r="43" spans="1:56" s="111" customFormat="1" ht="15" customHeight="1" x14ac:dyDescent="0.25">
      <c r="A43" s="118"/>
      <c r="B43" s="116"/>
      <c r="C43" s="119"/>
      <c r="D43" s="103"/>
      <c r="E43" s="119"/>
      <c r="F43" s="103"/>
      <c r="G43" s="121"/>
      <c r="H43" s="121"/>
      <c r="I43" s="122"/>
      <c r="J43" s="116"/>
      <c r="K43" s="116"/>
      <c r="L43" s="123"/>
      <c r="M43" s="116"/>
      <c r="N43" s="124"/>
      <c r="O43" s="124"/>
      <c r="P43" s="125"/>
      <c r="Q43" s="125"/>
      <c r="R43" s="126"/>
      <c r="S43" s="126"/>
      <c r="T43" s="127"/>
      <c r="U43" s="127"/>
      <c r="V43" s="120"/>
      <c r="W43" s="120"/>
      <c r="X43" s="120"/>
      <c r="Y43" s="120"/>
      <c r="Z43" s="120"/>
      <c r="AA43" s="120"/>
      <c r="AB43" s="120"/>
      <c r="AC43" s="120"/>
      <c r="AD43" s="129"/>
      <c r="AE43" s="127"/>
      <c r="AF43" s="129"/>
      <c r="AG43" s="127"/>
      <c r="AH43" s="127"/>
      <c r="AI43" s="127"/>
      <c r="AJ43" s="127"/>
      <c r="AK43" s="120"/>
      <c r="AL43" s="127"/>
      <c r="AM43" s="120"/>
      <c r="AN43" s="120"/>
      <c r="AO43" s="120"/>
      <c r="AP43" s="120"/>
      <c r="AQ43" s="130"/>
      <c r="AR43" s="116"/>
      <c r="AS43" s="131"/>
      <c r="AT43" s="131"/>
      <c r="AU43" s="127"/>
      <c r="AV43" s="132"/>
      <c r="AW43" s="133"/>
      <c r="AX43" s="133"/>
      <c r="AY43" s="133"/>
      <c r="AZ43" s="110"/>
      <c r="BA43" s="134"/>
      <c r="BB43" s="134"/>
      <c r="BC43" s="134"/>
      <c r="BD43" s="134"/>
    </row>
    <row r="44" spans="1:56" s="111" customFormat="1" ht="15" customHeight="1" x14ac:dyDescent="0.25">
      <c r="A44" s="118"/>
      <c r="B44" s="116"/>
      <c r="C44" s="119"/>
      <c r="D44" s="103"/>
      <c r="E44" s="119"/>
      <c r="F44" s="103"/>
      <c r="G44" s="121"/>
      <c r="H44" s="121"/>
      <c r="I44" s="122"/>
      <c r="J44" s="116"/>
      <c r="K44" s="116"/>
      <c r="L44" s="123"/>
      <c r="M44" s="116"/>
      <c r="N44" s="124"/>
      <c r="O44" s="124"/>
      <c r="P44" s="125"/>
      <c r="Q44" s="125"/>
      <c r="R44" s="126"/>
      <c r="S44" s="126"/>
      <c r="T44" s="127"/>
      <c r="U44" s="127"/>
      <c r="V44" s="120"/>
      <c r="W44" s="120"/>
      <c r="X44" s="120"/>
      <c r="Y44" s="120"/>
      <c r="Z44" s="120"/>
      <c r="AA44" s="120"/>
      <c r="AB44" s="120"/>
      <c r="AC44" s="120"/>
      <c r="AD44" s="129"/>
      <c r="AE44" s="127"/>
      <c r="AF44" s="129"/>
      <c r="AG44" s="127"/>
      <c r="AH44" s="127"/>
      <c r="AI44" s="127"/>
      <c r="AJ44" s="127"/>
      <c r="AK44" s="120"/>
      <c r="AL44" s="127"/>
      <c r="AM44" s="120"/>
      <c r="AN44" s="120"/>
      <c r="AO44" s="120"/>
      <c r="AP44" s="120"/>
      <c r="AQ44" s="130"/>
      <c r="AR44" s="116"/>
      <c r="AS44" s="131"/>
      <c r="AT44" s="131"/>
      <c r="AU44" s="127"/>
      <c r="AV44" s="132"/>
      <c r="AW44" s="133"/>
      <c r="AX44" s="133"/>
      <c r="AY44" s="133"/>
      <c r="AZ44" s="110"/>
      <c r="BA44" s="134"/>
      <c r="BB44" s="134"/>
      <c r="BC44" s="134"/>
      <c r="BD44" s="134"/>
    </row>
    <row r="45" spans="1:56" s="111" customFormat="1" ht="15" customHeight="1" x14ac:dyDescent="0.25">
      <c r="A45" s="118"/>
      <c r="B45" s="116"/>
      <c r="C45" s="119"/>
      <c r="D45" s="103"/>
      <c r="E45" s="119"/>
      <c r="F45" s="103"/>
      <c r="G45" s="121"/>
      <c r="H45" s="121"/>
      <c r="I45" s="122"/>
      <c r="J45" s="116"/>
      <c r="K45" s="116"/>
      <c r="L45" s="123"/>
      <c r="M45" s="116"/>
      <c r="N45" s="124"/>
      <c r="O45" s="124"/>
      <c r="P45" s="125"/>
      <c r="Q45" s="125"/>
      <c r="R45" s="126"/>
      <c r="S45" s="126"/>
      <c r="T45" s="127"/>
      <c r="U45" s="127"/>
      <c r="V45" s="120"/>
      <c r="W45" s="120"/>
      <c r="X45" s="120"/>
      <c r="Y45" s="120"/>
      <c r="Z45" s="120"/>
      <c r="AA45" s="120"/>
      <c r="AB45" s="120"/>
      <c r="AC45" s="120"/>
      <c r="AD45" s="129"/>
      <c r="AE45" s="127"/>
      <c r="AF45" s="129"/>
      <c r="AG45" s="127"/>
      <c r="AH45" s="127"/>
      <c r="AI45" s="127"/>
      <c r="AJ45" s="127"/>
      <c r="AK45" s="120"/>
      <c r="AL45" s="127"/>
      <c r="AM45" s="120"/>
      <c r="AN45" s="120"/>
      <c r="AO45" s="120"/>
      <c r="AP45" s="120"/>
      <c r="AQ45" s="130"/>
      <c r="AR45" s="116"/>
      <c r="AS45" s="131"/>
      <c r="AT45" s="131"/>
      <c r="AU45" s="127"/>
      <c r="AV45" s="132"/>
      <c r="AW45" s="133"/>
      <c r="AX45" s="133"/>
      <c r="AY45" s="133"/>
      <c r="AZ45" s="110"/>
      <c r="BA45" s="134"/>
      <c r="BB45" s="134"/>
      <c r="BC45" s="134"/>
      <c r="BD45" s="134"/>
    </row>
    <row r="46" spans="1:56" s="111" customFormat="1" ht="15" customHeight="1" x14ac:dyDescent="0.25">
      <c r="A46" s="118"/>
      <c r="B46" s="116"/>
      <c r="C46" s="119"/>
      <c r="D46" s="103"/>
      <c r="E46" s="119"/>
      <c r="F46" s="103"/>
      <c r="G46" s="143"/>
      <c r="H46" s="143"/>
      <c r="I46" s="122"/>
      <c r="J46" s="116"/>
      <c r="K46" s="116"/>
      <c r="L46" s="123"/>
      <c r="M46" s="116"/>
      <c r="N46" s="124"/>
      <c r="O46" s="124"/>
      <c r="P46" s="125"/>
      <c r="Q46" s="125"/>
      <c r="R46" s="126"/>
      <c r="S46" s="126"/>
      <c r="T46" s="127"/>
      <c r="U46" s="127"/>
      <c r="V46" s="120"/>
      <c r="W46" s="120"/>
      <c r="X46" s="120"/>
      <c r="Y46" s="120"/>
      <c r="Z46" s="120"/>
      <c r="AA46" s="120"/>
      <c r="AB46" s="120"/>
      <c r="AC46" s="120"/>
      <c r="AD46" s="129"/>
      <c r="AE46" s="127"/>
      <c r="AF46" s="129"/>
      <c r="AG46" s="127"/>
      <c r="AH46" s="127"/>
      <c r="AI46" s="127"/>
      <c r="AJ46" s="127"/>
      <c r="AK46" s="120"/>
      <c r="AL46" s="127"/>
      <c r="AM46" s="120"/>
      <c r="AN46" s="120"/>
      <c r="AO46" s="120"/>
      <c r="AP46" s="120"/>
      <c r="AQ46" s="130"/>
      <c r="AR46" s="116"/>
      <c r="AS46" s="131"/>
      <c r="AT46" s="131"/>
      <c r="AU46" s="127"/>
      <c r="AV46" s="132"/>
      <c r="AW46" s="133"/>
      <c r="AX46" s="133"/>
      <c r="AY46" s="133"/>
      <c r="AZ46" s="110"/>
      <c r="BA46" s="134"/>
      <c r="BB46" s="134"/>
      <c r="BC46" s="134"/>
      <c r="BD46" s="134"/>
    </row>
    <row r="47" spans="1:56" s="111" customFormat="1" ht="15" customHeight="1" x14ac:dyDescent="0.25">
      <c r="A47" s="118"/>
      <c r="B47" s="116"/>
      <c r="C47" s="119"/>
      <c r="D47" s="103"/>
      <c r="E47" s="119"/>
      <c r="F47" s="103"/>
      <c r="G47" s="143"/>
      <c r="H47" s="143"/>
      <c r="I47" s="122"/>
      <c r="J47" s="116"/>
      <c r="K47" s="116"/>
      <c r="L47" s="145"/>
      <c r="M47" s="116"/>
      <c r="N47" s="124"/>
      <c r="O47" s="118"/>
      <c r="P47" s="125"/>
      <c r="Q47" s="125"/>
      <c r="R47" s="126"/>
      <c r="S47" s="126"/>
      <c r="T47" s="120"/>
      <c r="U47" s="120"/>
      <c r="V47" s="128"/>
      <c r="W47" s="120"/>
      <c r="X47" s="120"/>
      <c r="Y47" s="120"/>
      <c r="Z47" s="120"/>
      <c r="AA47" s="120"/>
      <c r="AB47" s="120"/>
      <c r="AC47" s="127"/>
      <c r="AD47" s="129"/>
      <c r="AE47" s="127"/>
      <c r="AF47" s="146"/>
      <c r="AG47" s="127"/>
      <c r="AH47" s="127"/>
      <c r="AI47" s="120"/>
      <c r="AJ47" s="127"/>
      <c r="AK47" s="120"/>
      <c r="AL47" s="120"/>
      <c r="AM47" s="120"/>
      <c r="AN47" s="120"/>
      <c r="AO47" s="128"/>
      <c r="AP47" s="128"/>
      <c r="AQ47" s="130"/>
      <c r="AR47" s="116"/>
      <c r="AS47" s="131"/>
      <c r="AT47" s="147"/>
      <c r="AU47" s="127"/>
      <c r="AV47" s="132"/>
      <c r="AW47" s="133"/>
      <c r="AX47" s="133"/>
      <c r="AY47" s="133"/>
      <c r="AZ47" s="110"/>
      <c r="BA47" s="134"/>
      <c r="BB47" s="134"/>
      <c r="BC47" s="134"/>
      <c r="BD47" s="134"/>
    </row>
    <row r="48" spans="1:56" s="111" customFormat="1" ht="15" customHeight="1" x14ac:dyDescent="0.25">
      <c r="A48" s="118"/>
      <c r="B48" s="116"/>
      <c r="C48" s="119"/>
      <c r="D48" s="103"/>
      <c r="E48" s="119"/>
      <c r="F48" s="103"/>
      <c r="G48" s="116"/>
      <c r="H48" s="116"/>
      <c r="I48" s="122"/>
      <c r="J48" s="116"/>
      <c r="K48" s="116"/>
      <c r="L48" s="123"/>
      <c r="M48" s="116"/>
      <c r="N48" s="124"/>
      <c r="O48" s="124"/>
      <c r="P48" s="125"/>
      <c r="Q48" s="125"/>
      <c r="R48" s="126"/>
      <c r="S48" s="126"/>
      <c r="T48" s="127"/>
      <c r="U48" s="127"/>
      <c r="V48" s="120"/>
      <c r="W48" s="120"/>
      <c r="X48" s="120"/>
      <c r="Y48" s="120"/>
      <c r="Z48" s="120"/>
      <c r="AA48" s="120"/>
      <c r="AB48" s="120"/>
      <c r="AC48" s="120"/>
      <c r="AD48" s="129"/>
      <c r="AE48" s="127"/>
      <c r="AF48" s="129"/>
      <c r="AG48" s="127"/>
      <c r="AH48" s="127"/>
      <c r="AI48" s="127"/>
      <c r="AJ48" s="127"/>
      <c r="AK48" s="120"/>
      <c r="AL48" s="127"/>
      <c r="AM48" s="120"/>
      <c r="AN48" s="120"/>
      <c r="AO48" s="120"/>
      <c r="AP48" s="120"/>
      <c r="AQ48" s="130"/>
      <c r="AR48" s="116"/>
      <c r="AS48" s="131"/>
      <c r="AT48" s="131"/>
      <c r="AU48" s="127"/>
      <c r="AV48" s="132"/>
      <c r="AW48" s="133"/>
      <c r="AX48" s="133"/>
      <c r="AY48" s="133"/>
      <c r="AZ48" s="110"/>
      <c r="BA48" s="134"/>
      <c r="BB48" s="134"/>
      <c r="BC48" s="134"/>
      <c r="BD48" s="134"/>
    </row>
    <row r="49" spans="1:56" s="111" customFormat="1" ht="15" customHeight="1" x14ac:dyDescent="0.25">
      <c r="A49" s="118"/>
      <c r="B49" s="116"/>
      <c r="C49" s="119"/>
      <c r="D49" s="103"/>
      <c r="E49" s="119"/>
      <c r="F49" s="103"/>
      <c r="G49" s="116"/>
      <c r="H49" s="116"/>
      <c r="I49" s="122"/>
      <c r="J49" s="116"/>
      <c r="K49" s="116"/>
      <c r="L49" s="123"/>
      <c r="M49" s="116"/>
      <c r="N49" s="124"/>
      <c r="O49" s="124"/>
      <c r="P49" s="125"/>
      <c r="Q49" s="125"/>
      <c r="R49" s="126"/>
      <c r="S49" s="126"/>
      <c r="T49" s="127"/>
      <c r="U49" s="127"/>
      <c r="V49" s="120"/>
      <c r="W49" s="120"/>
      <c r="X49" s="120"/>
      <c r="Y49" s="120"/>
      <c r="Z49" s="120"/>
      <c r="AA49" s="120"/>
      <c r="AB49" s="120"/>
      <c r="AC49" s="120"/>
      <c r="AD49" s="129"/>
      <c r="AE49" s="127"/>
      <c r="AF49" s="129"/>
      <c r="AG49" s="127"/>
      <c r="AH49" s="127"/>
      <c r="AI49" s="127"/>
      <c r="AJ49" s="127"/>
      <c r="AK49" s="120"/>
      <c r="AL49" s="127"/>
      <c r="AM49" s="120"/>
      <c r="AN49" s="120"/>
      <c r="AO49" s="120"/>
      <c r="AP49" s="120"/>
      <c r="AQ49" s="130"/>
      <c r="AR49" s="116"/>
      <c r="AS49" s="131"/>
      <c r="AT49" s="131"/>
      <c r="AU49" s="127"/>
      <c r="AV49" s="132"/>
      <c r="AW49" s="133"/>
      <c r="AX49" s="133"/>
      <c r="AY49" s="133"/>
      <c r="AZ49" s="110"/>
      <c r="BA49" s="134"/>
      <c r="BB49" s="134"/>
      <c r="BC49" s="134"/>
      <c r="BD49" s="134"/>
    </row>
    <row r="50" spans="1:56" s="111" customFormat="1" ht="15" customHeight="1" x14ac:dyDescent="0.25">
      <c r="A50" s="118"/>
      <c r="B50" s="116"/>
      <c r="C50" s="119"/>
      <c r="D50" s="120"/>
      <c r="E50" s="119"/>
      <c r="F50" s="103"/>
      <c r="G50" s="143"/>
      <c r="H50" s="143"/>
      <c r="I50" s="122"/>
      <c r="J50" s="116"/>
      <c r="K50" s="116"/>
      <c r="L50" s="123"/>
      <c r="M50" s="116"/>
      <c r="N50" s="124"/>
      <c r="O50" s="124"/>
      <c r="P50" s="125"/>
      <c r="Q50" s="125"/>
      <c r="R50" s="126"/>
      <c r="S50" s="126"/>
      <c r="T50" s="127"/>
      <c r="U50" s="127"/>
      <c r="V50" s="120"/>
      <c r="W50" s="120"/>
      <c r="X50" s="128"/>
      <c r="Y50" s="120"/>
      <c r="Z50" s="120"/>
      <c r="AA50" s="120"/>
      <c r="AB50" s="120"/>
      <c r="AC50" s="120"/>
      <c r="AD50" s="129"/>
      <c r="AE50" s="127"/>
      <c r="AF50" s="129"/>
      <c r="AG50" s="127"/>
      <c r="AH50" s="127"/>
      <c r="AI50" s="127"/>
      <c r="AJ50" s="127"/>
      <c r="AK50" s="120"/>
      <c r="AL50" s="127"/>
      <c r="AM50" s="120"/>
      <c r="AN50" s="120"/>
      <c r="AO50" s="120"/>
      <c r="AP50" s="120"/>
      <c r="AQ50" s="130"/>
      <c r="AR50" s="116"/>
      <c r="AS50" s="131"/>
      <c r="AT50" s="131"/>
      <c r="AU50" s="127"/>
      <c r="AV50" s="132"/>
      <c r="AW50" s="133"/>
      <c r="AX50" s="133"/>
      <c r="AY50" s="133"/>
      <c r="AZ50" s="110"/>
      <c r="BA50" s="134"/>
      <c r="BB50" s="134"/>
      <c r="BC50" s="134"/>
      <c r="BD50" s="134"/>
    </row>
    <row r="51" spans="1:56" s="111" customFormat="1" ht="15" customHeight="1" x14ac:dyDescent="0.25">
      <c r="A51" s="118"/>
      <c r="B51" s="116"/>
      <c r="C51" s="103"/>
      <c r="D51" s="103"/>
      <c r="E51" s="119"/>
      <c r="F51" s="103"/>
      <c r="G51" s="121"/>
      <c r="H51" s="121"/>
      <c r="I51" s="122"/>
      <c r="J51" s="116"/>
      <c r="K51" s="116"/>
      <c r="L51" s="123"/>
      <c r="M51" s="116"/>
      <c r="N51" s="124"/>
      <c r="O51" s="124"/>
      <c r="P51" s="125"/>
      <c r="Q51" s="125"/>
      <c r="R51" s="126"/>
      <c r="S51" s="126"/>
      <c r="T51" s="127"/>
      <c r="U51" s="127"/>
      <c r="V51" s="120"/>
      <c r="W51" s="120"/>
      <c r="X51" s="128"/>
      <c r="Y51" s="120"/>
      <c r="Z51" s="120"/>
      <c r="AA51" s="120"/>
      <c r="AB51" s="120"/>
      <c r="AC51" s="120"/>
      <c r="AD51" s="129"/>
      <c r="AE51" s="127"/>
      <c r="AF51" s="129"/>
      <c r="AG51" s="127"/>
      <c r="AH51" s="127"/>
      <c r="AI51" s="127"/>
      <c r="AJ51" s="127"/>
      <c r="AK51" s="120"/>
      <c r="AL51" s="127"/>
      <c r="AM51" s="120"/>
      <c r="AN51" s="120"/>
      <c r="AO51" s="120"/>
      <c r="AP51" s="120"/>
      <c r="AQ51" s="130"/>
      <c r="AR51" s="116"/>
      <c r="AS51" s="131"/>
      <c r="AT51" s="131"/>
      <c r="AU51" s="127"/>
      <c r="AV51" s="132"/>
      <c r="AW51" s="133"/>
      <c r="AX51" s="133"/>
      <c r="AY51" s="133"/>
      <c r="AZ51" s="110"/>
      <c r="BA51" s="134"/>
      <c r="BB51" s="134"/>
      <c r="BC51" s="134"/>
      <c r="BD51" s="134"/>
    </row>
  </sheetData>
  <sheetProtection selectLockedCells="1" selectUnlockedCells="1"/>
  <sortState ref="A20:BO29">
    <sortCondition ref="AZ20:AZ29"/>
  </sortState>
  <conditionalFormatting sqref="G30:I40">
    <cfRule type="duplicateValues" dxfId="13" priority="64"/>
  </conditionalFormatting>
  <conditionalFormatting sqref="G30:I40">
    <cfRule type="duplicateValues" priority="65"/>
  </conditionalFormatting>
  <conditionalFormatting sqref="G30:I40">
    <cfRule type="duplicateValues" dxfId="12" priority="66"/>
  </conditionalFormatting>
  <conditionalFormatting sqref="I20:I25 I27:I29">
    <cfRule type="duplicateValues" dxfId="11" priority="67"/>
  </conditionalFormatting>
  <conditionalFormatting sqref="I20:I25 I27:I29">
    <cfRule type="duplicateValues" dxfId="10" priority="71"/>
    <cfRule type="duplicateValues" dxfId="9" priority="72"/>
  </conditionalFormatting>
  <conditionalFormatting sqref="I20:I25 I27:I29">
    <cfRule type="duplicateValues" dxfId="8" priority="75"/>
  </conditionalFormatting>
  <conditionalFormatting sqref="I26">
    <cfRule type="duplicateValues" dxfId="7" priority="1"/>
  </conditionalFormatting>
  <conditionalFormatting sqref="I26">
    <cfRule type="duplicateValues" dxfId="6" priority="2"/>
    <cfRule type="duplicateValues" dxfId="5" priority="3"/>
  </conditionalFormatting>
  <conditionalFormatting sqref="I26">
    <cfRule type="duplicateValues" dxfId="4" priority="4"/>
  </conditionalFormatting>
  <pageMargins left="0.23622047244094491" right="0.23622047244094491" top="0.23622047244094491" bottom="0.23622047244094491" header="0.23622047244094491" footer="0.23622047244094491"/>
  <pageSetup paperSize="5" scale="75" firstPageNumber="0" fitToHeight="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D159-A320-4352-B423-1E7667DA17AD}">
  <dimension ref="A1:BD59"/>
  <sheetViews>
    <sheetView tabSelected="1" zoomScale="80" zoomScaleNormal="80" workbookViewId="0">
      <pane ySplit="12" topLeftCell="A13" activePane="bottomLeft" state="frozen"/>
      <selection activeCell="I305" sqref="I305"/>
      <selection pane="bottomLeft" activeCell="C23" sqref="C23"/>
    </sheetView>
  </sheetViews>
  <sheetFormatPr defaultColWidth="9.109375" defaultRowHeight="12.9" customHeight="1" x14ac:dyDescent="0.25"/>
  <cols>
    <col min="1" max="1" width="10" style="8" customWidth="1"/>
    <col min="2" max="2" width="18.6640625" style="8" hidden="1" customWidth="1"/>
    <col min="3" max="3" width="30" style="8" customWidth="1"/>
    <col min="4" max="4" width="39.6640625" style="8" hidden="1" customWidth="1"/>
    <col min="5" max="5" width="14.109375" style="8" hidden="1" customWidth="1"/>
    <col min="6" max="6" width="40.5546875" style="8" customWidth="1"/>
    <col min="7" max="7" width="12.88671875" style="8" customWidth="1"/>
    <col min="8" max="8" width="14.5546875" style="8" customWidth="1"/>
    <col min="9" max="9" width="14.44140625" style="8" customWidth="1"/>
    <col min="10" max="10" width="11.6640625" style="8" customWidth="1"/>
    <col min="11" max="11" width="14" style="8" customWidth="1"/>
    <col min="12" max="12" width="24.5546875" style="8" customWidth="1"/>
    <col min="13" max="13" width="6.109375" style="8" customWidth="1"/>
    <col min="14" max="14" width="17.5546875" style="8" customWidth="1"/>
    <col min="15" max="15" width="16.109375" style="8" hidden="1" customWidth="1"/>
    <col min="16" max="16" width="10.6640625" style="8" hidden="1" customWidth="1"/>
    <col min="17" max="17" width="13.88671875" style="8" customWidth="1"/>
    <col min="18" max="18" width="17.33203125" style="8" customWidth="1"/>
    <col min="19" max="19" width="16.109375" style="8" hidden="1" customWidth="1"/>
    <col min="20" max="21" width="14.5546875" style="8" hidden="1" customWidth="1"/>
    <col min="22" max="22" width="15.5546875" style="8" hidden="1" customWidth="1"/>
    <col min="23" max="23" width="14.109375" style="8" hidden="1" customWidth="1"/>
    <col min="24" max="24" width="18.44140625" style="8" hidden="1" customWidth="1"/>
    <col min="25" max="27" width="15.44140625" style="8" hidden="1" customWidth="1"/>
    <col min="28" max="28" width="15.109375" style="8" hidden="1" customWidth="1"/>
    <col min="29" max="29" width="14" style="8" hidden="1" customWidth="1"/>
    <col min="30" max="30" width="16.109375" style="8" hidden="1" customWidth="1"/>
    <col min="31" max="31" width="14.88671875" style="8" hidden="1" customWidth="1"/>
    <col min="32" max="32" width="15.6640625" style="8" customWidth="1"/>
    <col min="33" max="33" width="16.44140625" style="8" customWidth="1"/>
    <col min="34" max="34" width="14.33203125" style="8" hidden="1" customWidth="1"/>
    <col min="35" max="35" width="16.109375" style="8" hidden="1" customWidth="1"/>
    <col min="36" max="36" width="14.88671875" style="8" hidden="1" customWidth="1"/>
    <col min="37" max="37" width="13.6640625" style="8" hidden="1" customWidth="1"/>
    <col min="38" max="40" width="18.6640625" style="8" hidden="1" customWidth="1"/>
    <col min="41" max="41" width="15" style="8" hidden="1" customWidth="1"/>
    <col min="42" max="42" width="15.6640625" style="8" hidden="1" customWidth="1"/>
    <col min="43" max="43" width="15.5546875" style="8" hidden="1" customWidth="1"/>
    <col min="44" max="44" width="10.109375" style="8" customWidth="1"/>
    <col min="45" max="45" width="9.88671875" style="8" hidden="1" customWidth="1"/>
    <col min="46" max="46" width="14.6640625" style="8" hidden="1" customWidth="1"/>
    <col min="47" max="48" width="17.109375" style="8" hidden="1" customWidth="1"/>
    <col min="49" max="49" width="16.109375" style="8" hidden="1" customWidth="1"/>
    <col min="50" max="50" width="15.109375" style="8" hidden="1" customWidth="1"/>
    <col min="51" max="51" width="10.77734375" style="8" hidden="1" customWidth="1"/>
    <col min="52" max="52" width="9.109375" style="8"/>
    <col min="53" max="55" width="0" style="8" hidden="1" customWidth="1"/>
    <col min="56" max="16384" width="9.109375" style="8"/>
  </cols>
  <sheetData>
    <row r="1" spans="1:55" ht="12.6" customHeight="1" x14ac:dyDescent="0.25">
      <c r="A1" s="2" t="s">
        <v>27</v>
      </c>
      <c r="B1" s="13"/>
      <c r="C1" s="3"/>
      <c r="D1" s="4"/>
      <c r="E1" s="11"/>
      <c r="F1" s="33"/>
      <c r="G1" s="6"/>
      <c r="H1" s="6"/>
      <c r="I1" s="6"/>
      <c r="J1" s="16"/>
      <c r="K1" s="12"/>
      <c r="L1" s="33"/>
      <c r="M1" s="6"/>
      <c r="N1" s="25"/>
      <c r="O1" s="7"/>
      <c r="P1" s="34"/>
      <c r="Q1" s="117"/>
      <c r="R1" s="25"/>
      <c r="S1" s="3"/>
      <c r="T1" s="33"/>
      <c r="U1" s="7"/>
      <c r="V1" s="35"/>
      <c r="W1" s="15"/>
      <c r="X1" s="33"/>
      <c r="Y1" s="25"/>
      <c r="Z1" s="23"/>
      <c r="AA1" s="36"/>
      <c r="AB1" s="15"/>
      <c r="AC1" s="37"/>
      <c r="AD1" s="37"/>
      <c r="AE1" s="37"/>
      <c r="AF1" s="7"/>
      <c r="AG1" s="25"/>
      <c r="AH1" s="25"/>
      <c r="AI1" s="7"/>
      <c r="AJ1" s="15"/>
      <c r="AK1" s="7"/>
      <c r="AL1" s="15"/>
      <c r="AM1" s="25"/>
      <c r="AN1" s="38"/>
      <c r="AO1" s="23"/>
      <c r="AP1" s="39"/>
      <c r="AQ1" s="40"/>
      <c r="AR1" s="41"/>
      <c r="AS1" s="41"/>
      <c r="AT1" s="5"/>
      <c r="AU1" s="7"/>
      <c r="AW1" s="42"/>
      <c r="AX1" s="5"/>
    </row>
    <row r="2" spans="1:55" ht="12.6" customHeight="1" x14ac:dyDescent="0.25">
      <c r="A2" s="9" t="s">
        <v>55</v>
      </c>
      <c r="B2" s="12"/>
      <c r="C2" s="10"/>
      <c r="D2" s="4"/>
      <c r="E2" s="11"/>
      <c r="F2" s="33"/>
      <c r="G2" s="12"/>
      <c r="H2" s="11"/>
      <c r="I2" s="11"/>
      <c r="J2" s="12"/>
      <c r="K2" s="12"/>
      <c r="L2" s="33"/>
      <c r="M2" s="43"/>
      <c r="N2" s="25"/>
      <c r="O2" s="7"/>
      <c r="P2" s="34"/>
      <c r="Q2" s="117"/>
      <c r="R2" s="7"/>
      <c r="S2" s="7"/>
      <c r="T2" s="33"/>
      <c r="U2" s="7"/>
      <c r="V2" s="25"/>
      <c r="W2" s="15"/>
      <c r="X2" s="25"/>
      <c r="Y2" s="25"/>
      <c r="Z2" s="25"/>
      <c r="AA2" s="36"/>
      <c r="AB2" s="25"/>
      <c r="AC2" s="37"/>
      <c r="AD2" s="37"/>
      <c r="AE2" s="13"/>
      <c r="AF2" s="7"/>
      <c r="AG2" s="25"/>
      <c r="AH2" s="25"/>
      <c r="AI2" s="7"/>
      <c r="AJ2" s="25"/>
      <c r="AK2" s="25"/>
      <c r="AL2" s="15"/>
      <c r="AM2" s="15"/>
      <c r="AN2" s="15"/>
      <c r="AP2" s="39"/>
      <c r="AQ2" s="12"/>
      <c r="AR2" s="44"/>
      <c r="AS2" s="44"/>
      <c r="AT2" s="5"/>
      <c r="AU2" s="7"/>
      <c r="AV2" s="5"/>
      <c r="AW2" s="7"/>
      <c r="AX2" s="5"/>
    </row>
    <row r="3" spans="1:55" ht="12.6" customHeight="1" x14ac:dyDescent="0.25">
      <c r="A3" s="9">
        <v>46276</v>
      </c>
      <c r="B3" s="12"/>
      <c r="C3" s="10"/>
      <c r="D3" s="6"/>
      <c r="E3" s="33"/>
      <c r="F3" s="33"/>
      <c r="G3" s="33"/>
      <c r="H3" s="11"/>
      <c r="I3" s="6"/>
      <c r="J3" s="12"/>
      <c r="K3" s="33"/>
      <c r="L3" s="33"/>
      <c r="M3" s="43"/>
      <c r="N3" s="25"/>
      <c r="O3" s="7"/>
      <c r="P3" s="34"/>
      <c r="Q3" s="117"/>
      <c r="R3" s="105"/>
      <c r="S3" s="7"/>
      <c r="T3" s="33"/>
      <c r="U3" s="14"/>
      <c r="V3" s="33"/>
      <c r="W3" s="33"/>
      <c r="X3" s="33"/>
      <c r="Y3" s="33"/>
      <c r="Z3" s="25"/>
      <c r="AA3" s="36"/>
      <c r="AB3" s="25"/>
      <c r="AC3" s="37"/>
      <c r="AD3" s="37"/>
      <c r="AE3" s="13"/>
      <c r="AF3" s="25"/>
      <c r="AG3" s="7"/>
      <c r="AH3" s="25"/>
      <c r="AI3" s="45"/>
      <c r="AJ3" s="25"/>
      <c r="AK3" s="25"/>
      <c r="AL3" s="15"/>
      <c r="AM3" s="15"/>
      <c r="AN3" s="15"/>
      <c r="AO3" s="18"/>
      <c r="AP3" s="46"/>
      <c r="AQ3" s="12"/>
      <c r="AR3" s="44"/>
      <c r="AS3" s="44"/>
      <c r="AT3" s="23"/>
      <c r="AU3" s="7"/>
      <c r="AV3" s="5"/>
      <c r="AW3" s="7"/>
      <c r="AX3" s="5"/>
    </row>
    <row r="4" spans="1:55" ht="12.9" customHeight="1" x14ac:dyDescent="0.25">
      <c r="A4" s="9"/>
      <c r="B4" s="12"/>
      <c r="C4" s="10"/>
      <c r="D4" s="10"/>
      <c r="E4" s="11"/>
      <c r="F4" s="33"/>
      <c r="G4" s="33"/>
      <c r="H4" s="11"/>
      <c r="I4" s="6"/>
      <c r="J4" s="12"/>
      <c r="K4" s="33"/>
      <c r="L4" s="13"/>
      <c r="M4" s="43"/>
      <c r="N4" s="25"/>
      <c r="O4" s="7"/>
      <c r="P4" s="34"/>
      <c r="Q4" s="117"/>
      <c r="R4" s="25"/>
      <c r="S4" s="25"/>
      <c r="T4" s="33"/>
      <c r="U4" s="33"/>
      <c r="V4" s="47"/>
      <c r="W4" s="47"/>
      <c r="X4" s="47"/>
      <c r="Y4" s="47"/>
      <c r="Z4" s="25"/>
      <c r="AA4" s="36"/>
      <c r="AB4" s="23"/>
      <c r="AC4" s="37"/>
      <c r="AD4" s="37"/>
      <c r="AE4" s="13"/>
      <c r="AF4" s="25"/>
      <c r="AG4" s="25"/>
      <c r="AH4" s="25"/>
      <c r="AI4" s="45"/>
      <c r="AJ4" s="25"/>
      <c r="AK4" s="25"/>
      <c r="AL4" s="25"/>
      <c r="AM4" s="15"/>
      <c r="AN4" s="25"/>
      <c r="AO4" s="25"/>
      <c r="AP4" s="39"/>
      <c r="AQ4" s="12"/>
      <c r="AR4" s="44"/>
      <c r="AS4" s="44"/>
      <c r="AT4" s="5"/>
      <c r="AU4" s="7"/>
      <c r="AV4" s="5"/>
      <c r="AW4" s="5"/>
      <c r="AX4" s="5"/>
    </row>
    <row r="5" spans="1:55" ht="12.6" customHeight="1" x14ac:dyDescent="0.25">
      <c r="A5" s="9"/>
      <c r="B5" s="12"/>
      <c r="C5" s="10"/>
      <c r="D5" s="10"/>
      <c r="E5" s="11"/>
      <c r="F5" s="48"/>
      <c r="G5" s="17"/>
      <c r="H5" s="11"/>
      <c r="I5" s="6"/>
      <c r="J5" s="12"/>
      <c r="K5" s="12"/>
      <c r="L5" s="13"/>
      <c r="M5" s="43"/>
      <c r="N5" s="25"/>
      <c r="O5" s="7"/>
      <c r="P5" s="34"/>
      <c r="Q5" s="155"/>
      <c r="R5" s="23"/>
      <c r="S5" s="25"/>
      <c r="T5" s="33"/>
      <c r="U5" s="25"/>
      <c r="V5" s="25"/>
      <c r="W5" s="25"/>
      <c r="X5" s="25"/>
      <c r="Y5" s="25"/>
      <c r="Z5" s="25"/>
      <c r="AA5" s="25"/>
      <c r="AB5" s="25"/>
      <c r="AC5" s="13"/>
      <c r="AD5" s="13"/>
      <c r="AE5" s="25"/>
      <c r="AF5" s="25"/>
      <c r="AG5" s="25"/>
      <c r="AH5" s="25"/>
      <c r="AI5" s="49"/>
      <c r="AJ5" s="25"/>
      <c r="AK5" s="49"/>
      <c r="AL5" s="15"/>
      <c r="AM5" s="15"/>
      <c r="AN5" s="15"/>
      <c r="AO5" s="15"/>
      <c r="AP5" s="39"/>
      <c r="AQ5" s="12"/>
      <c r="AR5" s="44"/>
      <c r="AS5" s="44"/>
      <c r="AT5" s="5"/>
      <c r="AU5" s="7"/>
      <c r="AV5" s="5"/>
      <c r="AW5" s="5"/>
      <c r="AX5" s="5"/>
    </row>
    <row r="6" spans="1:55" ht="12.9" customHeight="1" x14ac:dyDescent="0.25">
      <c r="A6" s="9"/>
      <c r="B6" s="12"/>
      <c r="C6" s="10"/>
      <c r="D6" s="10"/>
      <c r="E6" s="11"/>
      <c r="F6" s="33"/>
      <c r="G6" s="33"/>
      <c r="H6" s="11"/>
      <c r="I6" s="6"/>
      <c r="J6" s="156"/>
      <c r="K6" s="157"/>
      <c r="L6" s="13"/>
      <c r="M6" s="43"/>
      <c r="N6" s="25"/>
      <c r="O6" s="7"/>
      <c r="P6" s="34"/>
      <c r="Q6" s="14"/>
      <c r="R6" s="158"/>
      <c r="S6" s="25"/>
      <c r="T6" s="33"/>
      <c r="U6" s="25"/>
      <c r="V6" s="25"/>
      <c r="W6" s="25"/>
      <c r="X6" s="25"/>
      <c r="Y6" s="25"/>
      <c r="Z6" s="25"/>
      <c r="AA6" s="25"/>
      <c r="AB6" s="25"/>
      <c r="AC6" s="51"/>
      <c r="AD6" s="25"/>
      <c r="AE6" s="13"/>
      <c r="AF6" s="25"/>
      <c r="AG6" s="25"/>
      <c r="AH6" s="25"/>
      <c r="AI6" s="25"/>
      <c r="AJ6" s="25"/>
      <c r="AK6" s="7"/>
      <c r="AL6" s="15"/>
      <c r="AM6" s="15"/>
      <c r="AN6" s="15"/>
      <c r="AO6" s="15"/>
      <c r="AP6" s="39"/>
      <c r="AQ6" s="12"/>
      <c r="AR6" s="44"/>
      <c r="AS6" s="44"/>
      <c r="AT6" s="5"/>
      <c r="AU6" s="7"/>
      <c r="AV6" s="5"/>
      <c r="AW6" s="5"/>
      <c r="AX6" s="5"/>
    </row>
    <row r="7" spans="1:55" ht="12.6" customHeight="1" x14ac:dyDescent="0.25">
      <c r="A7" s="9"/>
      <c r="B7" s="12"/>
      <c r="C7" s="10"/>
      <c r="D7" s="10"/>
      <c r="E7" s="12"/>
      <c r="F7" s="33"/>
      <c r="G7" s="33"/>
      <c r="H7" s="11"/>
      <c r="I7" s="6"/>
      <c r="J7" s="52"/>
      <c r="K7" s="12"/>
      <c r="L7" s="13"/>
      <c r="M7" s="43"/>
      <c r="N7" s="25"/>
      <c r="O7" s="7"/>
      <c r="P7" s="34"/>
      <c r="Q7" s="50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51"/>
      <c r="AD7" s="25"/>
      <c r="AE7" s="13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53"/>
      <c r="AQ7" s="13"/>
      <c r="AR7" s="41"/>
      <c r="AS7" s="41"/>
      <c r="AT7" s="23"/>
      <c r="AU7" s="7"/>
      <c r="AV7" s="23"/>
      <c r="AW7" s="5"/>
      <c r="AX7" s="5"/>
    </row>
    <row r="8" spans="1:55" ht="12.9" customHeight="1" x14ac:dyDescent="0.25">
      <c r="A8" s="54"/>
      <c r="B8" s="17"/>
      <c r="C8" s="18"/>
      <c r="D8" s="18"/>
      <c r="E8" s="55"/>
      <c r="F8" s="47"/>
      <c r="G8" s="43"/>
      <c r="H8" s="17"/>
      <c r="I8" s="17"/>
      <c r="J8" s="52"/>
      <c r="K8" s="17"/>
      <c r="L8" s="17"/>
      <c r="M8" s="17"/>
      <c r="N8" s="49">
        <f>SUM(N13:N59)</f>
        <v>3478325.39</v>
      </c>
      <c r="O8" s="3"/>
      <c r="P8" s="54"/>
      <c r="Q8" s="33"/>
      <c r="R8" s="49">
        <f>SUM(R13:R59)</f>
        <v>3478325.39</v>
      </c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>
        <f>SUM(AG13:AG59)</f>
        <v>0</v>
      </c>
      <c r="AH8" s="49" t="e">
        <f>SUM(#REF!)</f>
        <v>#REF!</v>
      </c>
      <c r="AI8" s="49" t="e">
        <f>SUM(#REF!)</f>
        <v>#REF!</v>
      </c>
      <c r="AJ8" s="49" t="e">
        <f>SUM(#REF!)</f>
        <v>#REF!</v>
      </c>
      <c r="AK8" s="49" t="e">
        <f>SUM(#REF!)</f>
        <v>#REF!</v>
      </c>
      <c r="AL8" s="49" t="e">
        <f>SUM(#REF!)</f>
        <v>#REF!</v>
      </c>
      <c r="AM8" s="49" t="e">
        <f>SUM(#REF!)</f>
        <v>#REF!</v>
      </c>
      <c r="AN8" s="49" t="e">
        <f>SUM(#REF!)</f>
        <v>#REF!</v>
      </c>
      <c r="AO8" s="49" t="e">
        <f>SUM(#REF!)</f>
        <v>#REF!</v>
      </c>
      <c r="AP8" s="49"/>
      <c r="AQ8" s="17"/>
      <c r="AR8" s="56"/>
      <c r="AS8" s="56"/>
      <c r="AT8" s="18"/>
      <c r="AU8" s="3"/>
      <c r="AV8" s="18"/>
      <c r="AW8" s="57"/>
      <c r="AX8" s="3"/>
      <c r="AY8" s="18"/>
    </row>
    <row r="9" spans="1:55" ht="13.2" customHeight="1" x14ac:dyDescent="0.25">
      <c r="A9" s="58" t="s">
        <v>53</v>
      </c>
      <c r="B9" s="58" t="s">
        <v>68</v>
      </c>
      <c r="C9" s="58" t="s">
        <v>54</v>
      </c>
      <c r="D9" s="59" t="s">
        <v>54</v>
      </c>
      <c r="E9" s="58" t="s">
        <v>54</v>
      </c>
      <c r="F9" s="58" t="s">
        <v>54</v>
      </c>
      <c r="G9" s="60" t="s">
        <v>54</v>
      </c>
      <c r="H9" s="60" t="s">
        <v>54</v>
      </c>
      <c r="I9" s="6"/>
      <c r="J9" s="60" t="s">
        <v>54</v>
      </c>
      <c r="K9" s="60" t="s">
        <v>54</v>
      </c>
      <c r="L9" s="60" t="s">
        <v>54</v>
      </c>
      <c r="M9" s="58" t="s">
        <v>54</v>
      </c>
      <c r="N9" s="58" t="s">
        <v>54</v>
      </c>
      <c r="O9" s="58" t="s">
        <v>54</v>
      </c>
      <c r="P9" s="61" t="s">
        <v>54</v>
      </c>
      <c r="Q9" s="61" t="s">
        <v>54</v>
      </c>
      <c r="R9" s="58" t="s">
        <v>54</v>
      </c>
      <c r="S9" s="58" t="s">
        <v>54</v>
      </c>
      <c r="T9" s="58" t="s">
        <v>54</v>
      </c>
      <c r="U9" s="58"/>
      <c r="V9" s="58" t="s">
        <v>54</v>
      </c>
      <c r="W9" s="59" t="s">
        <v>54</v>
      </c>
      <c r="X9" s="62" t="s">
        <v>54</v>
      </c>
      <c r="Y9" s="59" t="s">
        <v>54</v>
      </c>
      <c r="Z9" s="59" t="s">
        <v>59</v>
      </c>
      <c r="AA9" s="59" t="s">
        <v>59</v>
      </c>
      <c r="AB9" s="59" t="s">
        <v>54</v>
      </c>
      <c r="AC9" s="59" t="s">
        <v>54</v>
      </c>
      <c r="AD9" s="61" t="s">
        <v>54</v>
      </c>
      <c r="AE9" s="59" t="s">
        <v>54</v>
      </c>
      <c r="AF9" s="61" t="s">
        <v>54</v>
      </c>
      <c r="AG9" s="58" t="s">
        <v>54</v>
      </c>
      <c r="AH9" s="58" t="s">
        <v>54</v>
      </c>
      <c r="AI9" s="58" t="s">
        <v>54</v>
      </c>
      <c r="AJ9" s="58" t="s">
        <v>54</v>
      </c>
      <c r="AK9" s="59" t="s">
        <v>54</v>
      </c>
      <c r="AL9" s="58" t="s">
        <v>54</v>
      </c>
      <c r="AM9" s="59" t="s">
        <v>54</v>
      </c>
      <c r="AN9" s="59"/>
      <c r="AO9" s="59" t="s">
        <v>54</v>
      </c>
      <c r="AP9" s="58" t="s">
        <v>54</v>
      </c>
      <c r="AQ9" s="63" t="s">
        <v>54</v>
      </c>
      <c r="AR9" s="60" t="s">
        <v>119</v>
      </c>
      <c r="AS9" s="60" t="s">
        <v>69</v>
      </c>
      <c r="AT9" s="60" t="s">
        <v>69</v>
      </c>
      <c r="AU9" s="60" t="s">
        <v>69</v>
      </c>
      <c r="AV9" s="60" t="s">
        <v>69</v>
      </c>
      <c r="AW9" s="60" t="s">
        <v>69</v>
      </c>
      <c r="AX9" s="60" t="s">
        <v>69</v>
      </c>
      <c r="AY9" s="60" t="s">
        <v>69</v>
      </c>
      <c r="AZ9" s="99" t="s">
        <v>69</v>
      </c>
      <c r="BA9" s="99" t="s">
        <v>69</v>
      </c>
      <c r="BB9" s="99" t="s">
        <v>69</v>
      </c>
      <c r="BC9" s="99" t="s">
        <v>69</v>
      </c>
    </row>
    <row r="10" spans="1:55" ht="13.2" customHeight="1" x14ac:dyDescent="0.25">
      <c r="A10" s="64" t="s">
        <v>28</v>
      </c>
      <c r="B10" s="6"/>
      <c r="C10" s="6"/>
      <c r="D10" s="37"/>
      <c r="E10" s="65"/>
      <c r="F10" s="65"/>
      <c r="G10" s="66"/>
      <c r="H10" s="66"/>
      <c r="I10" s="6"/>
      <c r="J10" s="6"/>
      <c r="K10" s="6"/>
      <c r="L10" s="6"/>
      <c r="M10" s="66"/>
      <c r="N10" s="25"/>
      <c r="O10" s="13" t="s">
        <v>51</v>
      </c>
      <c r="P10" s="64" t="s">
        <v>29</v>
      </c>
      <c r="Q10" s="24" t="s">
        <v>30</v>
      </c>
      <c r="R10" s="13" t="s">
        <v>31</v>
      </c>
      <c r="S10" s="80"/>
      <c r="T10" s="13" t="s">
        <v>64</v>
      </c>
      <c r="U10" s="13" t="s">
        <v>64</v>
      </c>
      <c r="V10" s="37" t="s">
        <v>33</v>
      </c>
      <c r="W10" s="37" t="s">
        <v>45</v>
      </c>
      <c r="X10" s="37" t="s">
        <v>47</v>
      </c>
      <c r="Y10" s="23"/>
      <c r="Z10" s="37" t="s">
        <v>60</v>
      </c>
      <c r="AA10" s="37" t="s">
        <v>67</v>
      </c>
      <c r="AB10" s="13" t="s">
        <v>36</v>
      </c>
      <c r="AC10" s="37" t="s">
        <v>50</v>
      </c>
      <c r="AD10" s="64"/>
      <c r="AE10" s="7"/>
      <c r="AF10" s="64"/>
      <c r="AG10" s="7"/>
      <c r="AH10" s="7"/>
      <c r="AI10" s="13" t="s">
        <v>34</v>
      </c>
      <c r="AJ10" s="7"/>
      <c r="AK10" s="13" t="s">
        <v>35</v>
      </c>
      <c r="AL10" s="13"/>
      <c r="AM10" s="13" t="s">
        <v>36</v>
      </c>
      <c r="AN10" s="13" t="s">
        <v>57</v>
      </c>
      <c r="AO10" s="13" t="s">
        <v>21</v>
      </c>
      <c r="AP10" s="13" t="s">
        <v>37</v>
      </c>
      <c r="AQ10" s="67"/>
      <c r="AR10" s="159"/>
      <c r="AS10" s="68"/>
      <c r="AT10" s="41"/>
      <c r="AU10" s="5"/>
      <c r="AV10" s="13" t="s">
        <v>39</v>
      </c>
      <c r="AW10" s="1"/>
      <c r="AX10" s="1"/>
      <c r="AY10" s="13" t="s">
        <v>62</v>
      </c>
      <c r="AZ10" s="100"/>
      <c r="BA10" s="100"/>
      <c r="BB10" s="100"/>
      <c r="BC10" s="100"/>
    </row>
    <row r="11" spans="1:55" ht="13.5" customHeight="1" x14ac:dyDescent="0.25">
      <c r="A11" s="64" t="s">
        <v>30</v>
      </c>
      <c r="B11" s="69" t="s">
        <v>40</v>
      </c>
      <c r="C11" s="69" t="s">
        <v>32</v>
      </c>
      <c r="D11" s="13" t="s">
        <v>41</v>
      </c>
      <c r="E11" s="70" t="s">
        <v>42</v>
      </c>
      <c r="F11" s="70" t="s">
        <v>0</v>
      </c>
      <c r="G11" s="66" t="s">
        <v>1</v>
      </c>
      <c r="H11" s="66" t="s">
        <v>43</v>
      </c>
      <c r="I11" s="69" t="s">
        <v>2</v>
      </c>
      <c r="J11" s="69" t="s">
        <v>3</v>
      </c>
      <c r="K11" s="69" t="s">
        <v>4</v>
      </c>
      <c r="L11" s="66" t="s">
        <v>5</v>
      </c>
      <c r="M11" s="66" t="s">
        <v>6</v>
      </c>
      <c r="N11" s="25" t="s">
        <v>7</v>
      </c>
      <c r="O11" s="13" t="s">
        <v>52</v>
      </c>
      <c r="P11" s="24" t="s">
        <v>30</v>
      </c>
      <c r="Q11" s="64" t="s">
        <v>8</v>
      </c>
      <c r="R11" s="13" t="s">
        <v>33</v>
      </c>
      <c r="S11" s="71"/>
      <c r="T11" s="13" t="s">
        <v>58</v>
      </c>
      <c r="U11" s="13" t="s">
        <v>65</v>
      </c>
      <c r="V11" s="13" t="s">
        <v>10</v>
      </c>
      <c r="W11" s="13" t="s">
        <v>46</v>
      </c>
      <c r="X11" s="13" t="s">
        <v>48</v>
      </c>
      <c r="Y11" s="13" t="s">
        <v>9</v>
      </c>
      <c r="Z11" s="13" t="s">
        <v>61</v>
      </c>
      <c r="AA11" s="13" t="s">
        <v>66</v>
      </c>
      <c r="AB11" s="13"/>
      <c r="AC11" s="13" t="s">
        <v>49</v>
      </c>
      <c r="AD11" s="64" t="s">
        <v>11</v>
      </c>
      <c r="AE11" s="13" t="s">
        <v>12</v>
      </c>
      <c r="AF11" s="64" t="s">
        <v>13</v>
      </c>
      <c r="AG11" s="13" t="s">
        <v>14</v>
      </c>
      <c r="AH11" s="13" t="s">
        <v>15</v>
      </c>
      <c r="AI11" s="13" t="s">
        <v>16</v>
      </c>
      <c r="AJ11" s="13" t="s">
        <v>17</v>
      </c>
      <c r="AK11" s="13" t="s">
        <v>18</v>
      </c>
      <c r="AL11" s="13" t="s">
        <v>19</v>
      </c>
      <c r="AM11" s="13" t="s">
        <v>20</v>
      </c>
      <c r="AN11" s="72">
        <v>0.05</v>
      </c>
      <c r="AO11" s="13" t="s">
        <v>56</v>
      </c>
      <c r="AP11" s="13" t="s">
        <v>21</v>
      </c>
      <c r="AQ11" s="67" t="s">
        <v>44</v>
      </c>
      <c r="AR11" s="69" t="s">
        <v>22</v>
      </c>
      <c r="AS11" s="68" t="s">
        <v>23</v>
      </c>
      <c r="AT11" s="68" t="s">
        <v>24</v>
      </c>
      <c r="AU11" s="73" t="s">
        <v>38</v>
      </c>
      <c r="AV11" s="13" t="s">
        <v>25</v>
      </c>
      <c r="AW11" s="73" t="s">
        <v>26</v>
      </c>
      <c r="AX11" s="73" t="s">
        <v>31</v>
      </c>
      <c r="AY11" s="13" t="s">
        <v>63</v>
      </c>
      <c r="AZ11" s="74">
        <v>46276</v>
      </c>
      <c r="BA11" s="74">
        <v>46283</v>
      </c>
      <c r="BB11" s="74">
        <v>46290</v>
      </c>
      <c r="BC11" s="74">
        <v>46295</v>
      </c>
    </row>
    <row r="12" spans="1:55" ht="13.5" customHeight="1" x14ac:dyDescent="0.25">
      <c r="A12" s="58" t="s">
        <v>53</v>
      </c>
      <c r="B12" s="58" t="s">
        <v>68</v>
      </c>
      <c r="C12" s="58" t="s">
        <v>54</v>
      </c>
      <c r="D12" s="59" t="s">
        <v>54</v>
      </c>
      <c r="E12" s="58" t="s">
        <v>54</v>
      </c>
      <c r="F12" s="58" t="s">
        <v>54</v>
      </c>
      <c r="G12" s="60" t="s">
        <v>54</v>
      </c>
      <c r="H12" s="60" t="s">
        <v>54</v>
      </c>
      <c r="I12" s="60" t="s">
        <v>54</v>
      </c>
      <c r="J12" s="60" t="s">
        <v>54</v>
      </c>
      <c r="K12" s="60" t="s">
        <v>54</v>
      </c>
      <c r="L12" s="60" t="s">
        <v>54</v>
      </c>
      <c r="M12" s="58" t="s">
        <v>54</v>
      </c>
      <c r="N12" s="58" t="s">
        <v>54</v>
      </c>
      <c r="O12" s="58" t="s">
        <v>54</v>
      </c>
      <c r="P12" s="61" t="s">
        <v>54</v>
      </c>
      <c r="Q12" s="61" t="s">
        <v>54</v>
      </c>
      <c r="R12" s="58" t="s">
        <v>54</v>
      </c>
      <c r="S12" s="58" t="s">
        <v>54</v>
      </c>
      <c r="T12" s="58" t="s">
        <v>54</v>
      </c>
      <c r="U12" s="58"/>
      <c r="V12" s="58" t="s">
        <v>54</v>
      </c>
      <c r="W12" s="59" t="s">
        <v>54</v>
      </c>
      <c r="X12" s="62" t="s">
        <v>54</v>
      </c>
      <c r="Y12" s="59" t="s">
        <v>54</v>
      </c>
      <c r="Z12" s="59" t="s">
        <v>59</v>
      </c>
      <c r="AA12" s="59" t="s">
        <v>59</v>
      </c>
      <c r="AB12" s="59" t="s">
        <v>54</v>
      </c>
      <c r="AC12" s="59" t="s">
        <v>54</v>
      </c>
      <c r="AD12" s="61" t="s">
        <v>54</v>
      </c>
      <c r="AE12" s="59" t="s">
        <v>54</v>
      </c>
      <c r="AF12" s="61" t="s">
        <v>54</v>
      </c>
      <c r="AG12" s="58" t="s">
        <v>54</v>
      </c>
      <c r="AH12" s="58" t="s">
        <v>54</v>
      </c>
      <c r="AI12" s="58" t="s">
        <v>54</v>
      </c>
      <c r="AJ12" s="58" t="s">
        <v>54</v>
      </c>
      <c r="AK12" s="59" t="s">
        <v>54</v>
      </c>
      <c r="AL12" s="58" t="s">
        <v>54</v>
      </c>
      <c r="AM12" s="59" t="s">
        <v>54</v>
      </c>
      <c r="AN12" s="59"/>
      <c r="AO12" s="59" t="s">
        <v>54</v>
      </c>
      <c r="AP12" s="58" t="s">
        <v>54</v>
      </c>
      <c r="AQ12" s="63" t="s">
        <v>54</v>
      </c>
      <c r="AR12" s="60" t="s">
        <v>119</v>
      </c>
      <c r="AS12" s="60" t="s">
        <v>69</v>
      </c>
      <c r="AT12" s="60" t="s">
        <v>69</v>
      </c>
      <c r="AU12" s="60" t="s">
        <v>69</v>
      </c>
      <c r="AV12" s="60" t="s">
        <v>69</v>
      </c>
      <c r="AW12" s="60" t="s">
        <v>69</v>
      </c>
      <c r="AX12" s="60" t="s">
        <v>69</v>
      </c>
      <c r="AY12" s="60" t="s">
        <v>69</v>
      </c>
      <c r="AZ12" s="99" t="s">
        <v>69</v>
      </c>
      <c r="BA12" s="99" t="s">
        <v>69</v>
      </c>
      <c r="BB12" s="99" t="s">
        <v>69</v>
      </c>
      <c r="BC12" s="99" t="s">
        <v>69</v>
      </c>
    </row>
    <row r="13" spans="1:55" s="111" customFormat="1" ht="13.5" customHeight="1" x14ac:dyDescent="0.25">
      <c r="A13" s="135">
        <v>46206</v>
      </c>
      <c r="B13" s="136" t="s">
        <v>180</v>
      </c>
      <c r="C13" s="103" t="s">
        <v>181</v>
      </c>
      <c r="D13" s="103" t="s">
        <v>182</v>
      </c>
      <c r="E13" s="103" t="s">
        <v>141</v>
      </c>
      <c r="F13" s="103" t="s">
        <v>186</v>
      </c>
      <c r="G13" s="136">
        <v>40134</v>
      </c>
      <c r="H13" s="136">
        <v>59369</v>
      </c>
      <c r="I13" s="170">
        <v>61670</v>
      </c>
      <c r="J13" s="136" t="s">
        <v>169</v>
      </c>
      <c r="K13" s="136"/>
      <c r="L13" s="137" t="s">
        <v>187</v>
      </c>
      <c r="M13" s="136">
        <v>20</v>
      </c>
      <c r="N13" s="138">
        <v>4000</v>
      </c>
      <c r="O13" s="103"/>
      <c r="P13" s="135">
        <v>46212</v>
      </c>
      <c r="Q13" s="135">
        <v>46212</v>
      </c>
      <c r="R13" s="138">
        <v>4000</v>
      </c>
      <c r="S13" s="138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40"/>
      <c r="AE13" s="139"/>
      <c r="AF13" s="140"/>
      <c r="AG13" s="139"/>
      <c r="AH13" s="139"/>
      <c r="AI13" s="139"/>
      <c r="AJ13" s="139"/>
      <c r="AK13" s="139"/>
      <c r="AL13" s="139"/>
      <c r="AM13" s="139"/>
      <c r="AN13" s="139"/>
      <c r="AO13" s="139"/>
      <c r="AP13" s="138"/>
      <c r="AQ13" s="142"/>
      <c r="AR13" s="136">
        <v>60</v>
      </c>
      <c r="AS13" s="141">
        <v>0</v>
      </c>
      <c r="AT13" s="141">
        <v>0</v>
      </c>
      <c r="AU13" s="127">
        <f t="shared" ref="AU13:AU32" si="0">AW13*0.05</f>
        <v>147</v>
      </c>
      <c r="AV13" s="132">
        <v>2940</v>
      </c>
      <c r="AW13" s="133">
        <f t="shared" ref="AW13:AW28" si="1">AV13+T13+U13+W13+X13+Y13+Z13+AC13+AI13+AB13+AA13</f>
        <v>2940</v>
      </c>
      <c r="AX13" s="133">
        <f t="shared" ref="AX13:AX28" si="2">AW13+AU13+AN13</f>
        <v>3087</v>
      </c>
      <c r="AY13" s="133">
        <f t="shared" ref="AY13:AY28" si="3">N13-AX13-V13</f>
        <v>913</v>
      </c>
      <c r="AZ13" s="134">
        <f t="shared" ref="AZ13:AZ33" si="4">$AZ$11-Q13</f>
        <v>64</v>
      </c>
      <c r="BA13" s="134">
        <f t="shared" ref="BA13:BA33" si="5">$BA$11-Q13</f>
        <v>71</v>
      </c>
      <c r="BB13" s="134">
        <f t="shared" ref="BB13:BB33" si="6">$BB$11-Q13</f>
        <v>78</v>
      </c>
      <c r="BC13" s="134">
        <f t="shared" ref="BC13:BC33" si="7">$BC$11-Q13</f>
        <v>83</v>
      </c>
    </row>
    <row r="14" spans="1:55" s="111" customFormat="1" ht="13.5" customHeight="1" x14ac:dyDescent="0.25">
      <c r="A14" s="135">
        <v>46203</v>
      </c>
      <c r="B14" s="136" t="s">
        <v>170</v>
      </c>
      <c r="C14" s="103" t="s">
        <v>171</v>
      </c>
      <c r="D14" s="103" t="s">
        <v>172</v>
      </c>
      <c r="E14" s="103" t="s">
        <v>168</v>
      </c>
      <c r="F14" s="103" t="s">
        <v>188</v>
      </c>
      <c r="G14" s="136">
        <v>40135</v>
      </c>
      <c r="H14" s="136">
        <v>59371</v>
      </c>
      <c r="I14" s="122">
        <v>61621</v>
      </c>
      <c r="J14" s="136" t="s">
        <v>173</v>
      </c>
      <c r="K14" s="136" t="s">
        <v>82</v>
      </c>
      <c r="L14" s="137" t="s">
        <v>189</v>
      </c>
      <c r="M14" s="136">
        <v>3</v>
      </c>
      <c r="N14" s="138">
        <v>444000</v>
      </c>
      <c r="O14" s="103"/>
      <c r="P14" s="135">
        <v>46212</v>
      </c>
      <c r="Q14" s="135">
        <v>46212</v>
      </c>
      <c r="R14" s="138">
        <v>444000</v>
      </c>
      <c r="S14" s="138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40"/>
      <c r="AE14" s="139"/>
      <c r="AF14" s="140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42"/>
      <c r="AR14" s="136">
        <v>60</v>
      </c>
      <c r="AS14" s="141">
        <v>1</v>
      </c>
      <c r="AT14" s="141">
        <v>0.22</v>
      </c>
      <c r="AU14" s="127">
        <f t="shared" si="0"/>
        <v>17325</v>
      </c>
      <c r="AV14" s="132">
        <v>346500</v>
      </c>
      <c r="AW14" s="133">
        <f t="shared" si="1"/>
        <v>346500</v>
      </c>
      <c r="AX14" s="133">
        <f t="shared" si="2"/>
        <v>363825</v>
      </c>
      <c r="AY14" s="133">
        <f t="shared" si="3"/>
        <v>80175</v>
      </c>
      <c r="AZ14" s="134">
        <f t="shared" si="4"/>
        <v>64</v>
      </c>
      <c r="BA14" s="134">
        <f t="shared" si="5"/>
        <v>71</v>
      </c>
      <c r="BB14" s="134">
        <f t="shared" si="6"/>
        <v>78</v>
      </c>
      <c r="BC14" s="134">
        <f t="shared" si="7"/>
        <v>83</v>
      </c>
    </row>
    <row r="15" spans="1:55" s="111" customFormat="1" ht="13.5" customHeight="1" x14ac:dyDescent="0.25">
      <c r="A15" s="135">
        <v>46204</v>
      </c>
      <c r="B15" s="136" t="s">
        <v>190</v>
      </c>
      <c r="C15" s="103" t="s">
        <v>191</v>
      </c>
      <c r="D15" s="103" t="s">
        <v>192</v>
      </c>
      <c r="E15" s="103" t="s">
        <v>193</v>
      </c>
      <c r="F15" s="103" t="s">
        <v>194</v>
      </c>
      <c r="G15" s="136">
        <v>40136</v>
      </c>
      <c r="H15" s="136">
        <v>59373</v>
      </c>
      <c r="I15" s="170">
        <v>61646</v>
      </c>
      <c r="J15" s="136" t="s">
        <v>174</v>
      </c>
      <c r="K15" s="136" t="s">
        <v>129</v>
      </c>
      <c r="L15" s="137">
        <v>9101324145</v>
      </c>
      <c r="M15" s="136">
        <v>1</v>
      </c>
      <c r="N15" s="138">
        <v>17800</v>
      </c>
      <c r="O15" s="103"/>
      <c r="P15" s="135">
        <v>46212</v>
      </c>
      <c r="Q15" s="135">
        <v>46212</v>
      </c>
      <c r="R15" s="138">
        <v>17800</v>
      </c>
      <c r="S15" s="138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40"/>
      <c r="AE15" s="139"/>
      <c r="AF15" s="140"/>
      <c r="AG15" s="139"/>
      <c r="AH15" s="139"/>
      <c r="AI15" s="139"/>
      <c r="AJ15" s="139"/>
      <c r="AK15" s="139"/>
      <c r="AL15" s="139"/>
      <c r="AM15" s="139"/>
      <c r="AN15" s="139"/>
      <c r="AO15" s="139"/>
      <c r="AP15" s="138"/>
      <c r="AQ15" s="142"/>
      <c r="AR15" s="136">
        <v>60</v>
      </c>
      <c r="AS15" s="141">
        <v>1</v>
      </c>
      <c r="AT15" s="141">
        <v>0.14000000000000001</v>
      </c>
      <c r="AU15" s="127">
        <f t="shared" si="0"/>
        <v>740</v>
      </c>
      <c r="AV15" s="132">
        <v>14800</v>
      </c>
      <c r="AW15" s="133">
        <f t="shared" si="1"/>
        <v>14800</v>
      </c>
      <c r="AX15" s="133">
        <f t="shared" si="2"/>
        <v>15540</v>
      </c>
      <c r="AY15" s="133">
        <f t="shared" si="3"/>
        <v>2260</v>
      </c>
      <c r="AZ15" s="134">
        <f t="shared" si="4"/>
        <v>64</v>
      </c>
      <c r="BA15" s="134">
        <f t="shared" si="5"/>
        <v>71</v>
      </c>
      <c r="BB15" s="134">
        <f t="shared" si="6"/>
        <v>78</v>
      </c>
      <c r="BC15" s="134">
        <f t="shared" si="7"/>
        <v>83</v>
      </c>
    </row>
    <row r="16" spans="1:55" s="111" customFormat="1" ht="13.5" customHeight="1" x14ac:dyDescent="0.25">
      <c r="A16" s="135">
        <v>46191</v>
      </c>
      <c r="B16" s="136" t="s">
        <v>195</v>
      </c>
      <c r="C16" s="103" t="s">
        <v>171</v>
      </c>
      <c r="D16" s="103" t="s">
        <v>172</v>
      </c>
      <c r="E16" s="119" t="s">
        <v>176</v>
      </c>
      <c r="F16" s="103" t="s">
        <v>177</v>
      </c>
      <c r="G16" s="136"/>
      <c r="H16" s="136">
        <v>59326</v>
      </c>
      <c r="I16" s="122">
        <v>61500</v>
      </c>
      <c r="J16" s="116" t="s">
        <v>173</v>
      </c>
      <c r="K16" s="136" t="s">
        <v>82</v>
      </c>
      <c r="L16" s="137" t="s">
        <v>196</v>
      </c>
      <c r="M16" s="116">
        <v>7</v>
      </c>
      <c r="N16" s="124">
        <v>15750.01</v>
      </c>
      <c r="O16" s="136"/>
      <c r="P16" s="135">
        <v>46211</v>
      </c>
      <c r="Q16" s="135">
        <v>46211</v>
      </c>
      <c r="R16" s="124">
        <v>15750.01</v>
      </c>
      <c r="S16" s="124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40"/>
      <c r="AE16" s="139"/>
      <c r="AF16" s="140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42"/>
      <c r="AR16" s="136">
        <v>60</v>
      </c>
      <c r="AS16" s="131">
        <v>1</v>
      </c>
      <c r="AT16" s="131">
        <v>0.88</v>
      </c>
      <c r="AU16" s="127">
        <f t="shared" si="0"/>
        <v>397.6035</v>
      </c>
      <c r="AV16" s="132">
        <v>7952.07</v>
      </c>
      <c r="AW16" s="133">
        <f t="shared" si="1"/>
        <v>7952.07</v>
      </c>
      <c r="AX16" s="133">
        <f t="shared" si="2"/>
        <v>8349.673499999999</v>
      </c>
      <c r="AY16" s="133">
        <f t="shared" si="3"/>
        <v>7400.3365000000013</v>
      </c>
      <c r="AZ16" s="134">
        <f t="shared" si="4"/>
        <v>65</v>
      </c>
      <c r="BA16" s="134">
        <f t="shared" si="5"/>
        <v>72</v>
      </c>
      <c r="BB16" s="134">
        <f t="shared" si="6"/>
        <v>79</v>
      </c>
      <c r="BC16" s="134">
        <f t="shared" si="7"/>
        <v>84</v>
      </c>
    </row>
    <row r="17" spans="1:56" s="111" customFormat="1" ht="13.5" customHeight="1" x14ac:dyDescent="0.25">
      <c r="A17" s="135">
        <v>46206</v>
      </c>
      <c r="B17" s="136" t="s">
        <v>197</v>
      </c>
      <c r="C17" s="103" t="s">
        <v>184</v>
      </c>
      <c r="D17" s="103" t="s">
        <v>185</v>
      </c>
      <c r="E17" s="103" t="s">
        <v>175</v>
      </c>
      <c r="F17" s="103" t="s">
        <v>198</v>
      </c>
      <c r="G17" s="116">
        <v>40118</v>
      </c>
      <c r="H17" s="136">
        <v>59352</v>
      </c>
      <c r="I17" s="170">
        <v>61665</v>
      </c>
      <c r="J17" s="136" t="s">
        <v>146</v>
      </c>
      <c r="K17" s="136" t="s">
        <v>82</v>
      </c>
      <c r="L17" s="137">
        <v>34169</v>
      </c>
      <c r="M17" s="136">
        <v>5</v>
      </c>
      <c r="N17" s="138">
        <v>18000</v>
      </c>
      <c r="O17" s="103"/>
      <c r="P17" s="135">
        <v>46211</v>
      </c>
      <c r="Q17" s="135">
        <v>46211</v>
      </c>
      <c r="R17" s="138">
        <v>18000</v>
      </c>
      <c r="S17" s="138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40"/>
      <c r="AE17" s="139"/>
      <c r="AF17" s="140"/>
      <c r="AG17" s="139"/>
      <c r="AH17" s="139"/>
      <c r="AI17" s="139"/>
      <c r="AJ17" s="139"/>
      <c r="AK17" s="139"/>
      <c r="AL17" s="139"/>
      <c r="AM17" s="139"/>
      <c r="AN17" s="139"/>
      <c r="AO17" s="139"/>
      <c r="AP17" s="138"/>
      <c r="AQ17" s="142"/>
      <c r="AR17" s="136">
        <v>30</v>
      </c>
      <c r="AS17" s="141">
        <v>0</v>
      </c>
      <c r="AT17" s="141">
        <v>0.03</v>
      </c>
      <c r="AU17" s="127">
        <f t="shared" si="0"/>
        <v>832.5</v>
      </c>
      <c r="AV17" s="132">
        <v>16650</v>
      </c>
      <c r="AW17" s="133">
        <f t="shared" si="1"/>
        <v>16650</v>
      </c>
      <c r="AX17" s="133">
        <f t="shared" si="2"/>
        <v>17482.5</v>
      </c>
      <c r="AY17" s="133">
        <f t="shared" si="3"/>
        <v>517.5</v>
      </c>
      <c r="AZ17" s="134">
        <f t="shared" si="4"/>
        <v>65</v>
      </c>
      <c r="BA17" s="134">
        <f t="shared" si="5"/>
        <v>72</v>
      </c>
      <c r="BB17" s="134">
        <f t="shared" si="6"/>
        <v>79</v>
      </c>
      <c r="BC17" s="134">
        <f t="shared" si="7"/>
        <v>84</v>
      </c>
    </row>
    <row r="18" spans="1:56" s="111" customFormat="1" ht="13.5" customHeight="1" x14ac:dyDescent="0.25">
      <c r="A18" s="135">
        <v>46203</v>
      </c>
      <c r="B18" s="136" t="s">
        <v>114</v>
      </c>
      <c r="C18" s="103" t="s">
        <v>115</v>
      </c>
      <c r="D18" s="103" t="s">
        <v>199</v>
      </c>
      <c r="E18" s="103" t="s">
        <v>83</v>
      </c>
      <c r="F18" s="103" t="s">
        <v>200</v>
      </c>
      <c r="G18" s="136">
        <v>40119</v>
      </c>
      <c r="H18" s="136">
        <v>59353</v>
      </c>
      <c r="I18" s="122">
        <v>61605</v>
      </c>
      <c r="J18" s="136" t="s">
        <v>113</v>
      </c>
      <c r="K18" s="136" t="s">
        <v>88</v>
      </c>
      <c r="L18" s="137">
        <v>4500694009</v>
      </c>
      <c r="M18" s="136">
        <v>2</v>
      </c>
      <c r="N18" s="138">
        <v>19400.009999999998</v>
      </c>
      <c r="O18" s="103"/>
      <c r="P18" s="135">
        <v>46211</v>
      </c>
      <c r="Q18" s="135">
        <v>46211</v>
      </c>
      <c r="R18" s="138">
        <v>19400.009999999998</v>
      </c>
      <c r="S18" s="138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40"/>
      <c r="AE18" s="139"/>
      <c r="AF18" s="140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42"/>
      <c r="AR18" s="136">
        <v>30</v>
      </c>
      <c r="AS18" s="141">
        <v>0.5</v>
      </c>
      <c r="AT18" s="141">
        <v>0.08</v>
      </c>
      <c r="AU18" s="127">
        <f t="shared" si="0"/>
        <v>850</v>
      </c>
      <c r="AV18" s="132">
        <v>17000</v>
      </c>
      <c r="AW18" s="133">
        <f t="shared" si="1"/>
        <v>17000</v>
      </c>
      <c r="AX18" s="133">
        <f t="shared" si="2"/>
        <v>17850</v>
      </c>
      <c r="AY18" s="133">
        <f t="shared" si="3"/>
        <v>1550.0099999999984</v>
      </c>
      <c r="AZ18" s="134">
        <f t="shared" si="4"/>
        <v>65</v>
      </c>
      <c r="BA18" s="134">
        <f t="shared" si="5"/>
        <v>72</v>
      </c>
      <c r="BB18" s="134">
        <f t="shared" si="6"/>
        <v>79</v>
      </c>
      <c r="BC18" s="134">
        <f t="shared" si="7"/>
        <v>84</v>
      </c>
    </row>
    <row r="19" spans="1:56" s="111" customFormat="1" ht="13.5" customHeight="1" x14ac:dyDescent="0.25">
      <c r="A19" s="135">
        <v>46203</v>
      </c>
      <c r="B19" s="136" t="s">
        <v>170</v>
      </c>
      <c r="C19" s="103" t="s">
        <v>171</v>
      </c>
      <c r="D19" s="103" t="s">
        <v>172</v>
      </c>
      <c r="E19" s="103" t="s">
        <v>136</v>
      </c>
      <c r="F19" s="103" t="s">
        <v>179</v>
      </c>
      <c r="G19" s="121">
        <v>40108</v>
      </c>
      <c r="H19" s="121">
        <v>59339</v>
      </c>
      <c r="I19" s="122">
        <v>61611</v>
      </c>
      <c r="J19" s="136" t="s">
        <v>173</v>
      </c>
      <c r="K19" s="136" t="s">
        <v>82</v>
      </c>
      <c r="L19" s="137" t="s">
        <v>201</v>
      </c>
      <c r="M19" s="136">
        <v>1</v>
      </c>
      <c r="N19" s="138">
        <v>8900</v>
      </c>
      <c r="O19" s="103"/>
      <c r="P19" s="125">
        <v>46210</v>
      </c>
      <c r="Q19" s="125">
        <v>46210</v>
      </c>
      <c r="R19" s="138">
        <v>8900</v>
      </c>
      <c r="S19" s="138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40"/>
      <c r="AE19" s="139"/>
      <c r="AF19" s="140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42"/>
      <c r="AR19" s="136">
        <v>60</v>
      </c>
      <c r="AS19" s="141">
        <v>1</v>
      </c>
      <c r="AT19" s="141">
        <v>0.18</v>
      </c>
      <c r="AU19" s="127">
        <f t="shared" si="0"/>
        <v>357.3</v>
      </c>
      <c r="AV19" s="132">
        <v>7146</v>
      </c>
      <c r="AW19" s="133">
        <f t="shared" si="1"/>
        <v>7146</v>
      </c>
      <c r="AX19" s="133">
        <f t="shared" si="2"/>
        <v>7503.3</v>
      </c>
      <c r="AY19" s="133">
        <f t="shared" si="3"/>
        <v>1396.6999999999998</v>
      </c>
      <c r="AZ19" s="134">
        <f t="shared" si="4"/>
        <v>66</v>
      </c>
      <c r="BA19" s="134">
        <f t="shared" si="5"/>
        <v>73</v>
      </c>
      <c r="BB19" s="134">
        <f t="shared" si="6"/>
        <v>80</v>
      </c>
      <c r="BC19" s="134">
        <f t="shared" si="7"/>
        <v>85</v>
      </c>
      <c r="BD19" s="111" t="s">
        <v>207</v>
      </c>
    </row>
    <row r="20" spans="1:56" s="111" customFormat="1" ht="13.5" customHeight="1" x14ac:dyDescent="0.25">
      <c r="A20" s="135">
        <v>46199</v>
      </c>
      <c r="B20" s="136" t="s">
        <v>202</v>
      </c>
      <c r="C20" s="103" t="s">
        <v>203</v>
      </c>
      <c r="D20" s="103" t="s">
        <v>204</v>
      </c>
      <c r="E20" s="103" t="s">
        <v>168</v>
      </c>
      <c r="F20" s="103" t="s">
        <v>205</v>
      </c>
      <c r="G20" s="121">
        <v>40095</v>
      </c>
      <c r="H20" s="121">
        <v>59323</v>
      </c>
      <c r="I20" s="122">
        <v>61585</v>
      </c>
      <c r="J20" s="136" t="s">
        <v>178</v>
      </c>
      <c r="K20" s="136" t="s">
        <v>131</v>
      </c>
      <c r="L20" s="137" t="s">
        <v>206</v>
      </c>
      <c r="M20" s="136">
        <v>1</v>
      </c>
      <c r="N20" s="138">
        <v>109000</v>
      </c>
      <c r="O20" s="136"/>
      <c r="P20" s="125">
        <v>46209</v>
      </c>
      <c r="Q20" s="125">
        <v>46209</v>
      </c>
      <c r="R20" s="138">
        <v>109000</v>
      </c>
      <c r="S20" s="138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40"/>
      <c r="AE20" s="139"/>
      <c r="AF20" s="140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42"/>
      <c r="AR20" s="136">
        <v>30</v>
      </c>
      <c r="AS20" s="141">
        <v>1</v>
      </c>
      <c r="AT20" s="141">
        <v>0.12</v>
      </c>
      <c r="AU20" s="127">
        <f t="shared" si="0"/>
        <v>4627.5</v>
      </c>
      <c r="AV20" s="132">
        <v>92550</v>
      </c>
      <c r="AW20" s="133">
        <f t="shared" si="1"/>
        <v>92550</v>
      </c>
      <c r="AX20" s="133">
        <f t="shared" si="2"/>
        <v>97177.5</v>
      </c>
      <c r="AY20" s="133">
        <f t="shared" si="3"/>
        <v>11822.5</v>
      </c>
      <c r="AZ20" s="134">
        <f t="shared" si="4"/>
        <v>67</v>
      </c>
      <c r="BA20" s="134">
        <f t="shared" si="5"/>
        <v>74</v>
      </c>
      <c r="BB20" s="134">
        <f t="shared" si="6"/>
        <v>81</v>
      </c>
      <c r="BC20" s="134">
        <f t="shared" si="7"/>
        <v>86</v>
      </c>
      <c r="BD20" s="111" t="s">
        <v>207</v>
      </c>
    </row>
    <row r="21" spans="1:56" s="111" customFormat="1" ht="13.5" customHeight="1" x14ac:dyDescent="0.25">
      <c r="A21" s="135">
        <v>46206</v>
      </c>
      <c r="B21" s="136" t="s">
        <v>102</v>
      </c>
      <c r="C21" s="103" t="s">
        <v>103</v>
      </c>
      <c r="D21" s="103" t="s">
        <v>104</v>
      </c>
      <c r="E21" s="103" t="s">
        <v>83</v>
      </c>
      <c r="F21" s="103" t="s">
        <v>183</v>
      </c>
      <c r="G21" s="121">
        <v>40102</v>
      </c>
      <c r="H21" s="121">
        <v>59331</v>
      </c>
      <c r="I21" s="170">
        <v>61658</v>
      </c>
      <c r="J21" s="136" t="s">
        <v>85</v>
      </c>
      <c r="K21" s="136" t="s">
        <v>82</v>
      </c>
      <c r="L21" s="137" t="s">
        <v>84</v>
      </c>
      <c r="M21" s="136">
        <v>30</v>
      </c>
      <c r="N21" s="138">
        <v>1285500</v>
      </c>
      <c r="O21" s="103"/>
      <c r="P21" s="135">
        <v>46209</v>
      </c>
      <c r="Q21" s="135">
        <v>46209</v>
      </c>
      <c r="R21" s="138">
        <v>1285500</v>
      </c>
      <c r="S21" s="138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40"/>
      <c r="AE21" s="139"/>
      <c r="AF21" s="140"/>
      <c r="AG21" s="139"/>
      <c r="AH21" s="139"/>
      <c r="AI21" s="139"/>
      <c r="AJ21" s="139"/>
      <c r="AK21" s="139"/>
      <c r="AL21" s="139"/>
      <c r="AM21" s="139"/>
      <c r="AN21" s="139"/>
      <c r="AO21" s="139"/>
      <c r="AP21" s="138"/>
      <c r="AQ21" s="142"/>
      <c r="AR21" s="136">
        <v>30</v>
      </c>
      <c r="AS21" s="141">
        <v>0.1</v>
      </c>
      <c r="AT21" s="141">
        <v>0.06</v>
      </c>
      <c r="AU21" s="127">
        <f t="shared" si="0"/>
        <v>57750</v>
      </c>
      <c r="AV21" s="132">
        <v>1155000</v>
      </c>
      <c r="AW21" s="133">
        <f t="shared" si="1"/>
        <v>1155000</v>
      </c>
      <c r="AX21" s="133">
        <f t="shared" si="2"/>
        <v>1212750</v>
      </c>
      <c r="AY21" s="133">
        <f t="shared" si="3"/>
        <v>72750</v>
      </c>
      <c r="AZ21" s="134">
        <f t="shared" si="4"/>
        <v>67</v>
      </c>
      <c r="BA21" s="134">
        <f t="shared" si="5"/>
        <v>74</v>
      </c>
      <c r="BB21" s="134">
        <f t="shared" si="6"/>
        <v>81</v>
      </c>
      <c r="BC21" s="134">
        <f t="shared" si="7"/>
        <v>86</v>
      </c>
    </row>
    <row r="22" spans="1:56" s="111" customFormat="1" ht="13.5" customHeight="1" x14ac:dyDescent="0.25">
      <c r="A22" s="135">
        <v>46198</v>
      </c>
      <c r="B22" s="136" t="s">
        <v>139</v>
      </c>
      <c r="C22" s="103" t="s">
        <v>140</v>
      </c>
      <c r="D22" s="103" t="s">
        <v>148</v>
      </c>
      <c r="E22" s="103" t="s">
        <v>134</v>
      </c>
      <c r="F22" s="103" t="s">
        <v>135</v>
      </c>
      <c r="G22" s="136"/>
      <c r="H22" s="121">
        <v>59303</v>
      </c>
      <c r="I22" s="122">
        <v>61571</v>
      </c>
      <c r="J22" s="136" t="s">
        <v>123</v>
      </c>
      <c r="K22" s="136" t="s">
        <v>88</v>
      </c>
      <c r="L22" s="137" t="s">
        <v>84</v>
      </c>
      <c r="M22" s="136">
        <v>1</v>
      </c>
      <c r="N22" s="138">
        <v>34850</v>
      </c>
      <c r="O22" s="136"/>
      <c r="P22" s="125">
        <v>46204</v>
      </c>
      <c r="Q22" s="125">
        <v>46204</v>
      </c>
      <c r="R22" s="138">
        <v>34850</v>
      </c>
      <c r="S22" s="138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40"/>
      <c r="AE22" s="139"/>
      <c r="AF22" s="140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42"/>
      <c r="AR22" s="136">
        <v>30</v>
      </c>
      <c r="AS22" s="141">
        <v>0.1</v>
      </c>
      <c r="AT22" s="141">
        <v>0.06</v>
      </c>
      <c r="AU22" s="127">
        <f t="shared" si="0"/>
        <v>1555.4</v>
      </c>
      <c r="AV22" s="132">
        <v>31108</v>
      </c>
      <c r="AW22" s="133">
        <f t="shared" si="1"/>
        <v>31108</v>
      </c>
      <c r="AX22" s="133">
        <f t="shared" si="2"/>
        <v>32663.4</v>
      </c>
      <c r="AY22" s="133">
        <f t="shared" si="3"/>
        <v>2186.5999999999985</v>
      </c>
      <c r="AZ22" s="134">
        <f t="shared" si="4"/>
        <v>72</v>
      </c>
      <c r="BA22" s="134">
        <f t="shared" si="5"/>
        <v>79</v>
      </c>
      <c r="BB22" s="134">
        <f t="shared" si="6"/>
        <v>86</v>
      </c>
      <c r="BC22" s="134">
        <f t="shared" si="7"/>
        <v>91</v>
      </c>
      <c r="BD22" s="111" t="s">
        <v>210</v>
      </c>
    </row>
    <row r="23" spans="1:56" s="111" customFormat="1" ht="13.5" customHeight="1" x14ac:dyDescent="0.25">
      <c r="A23" s="135">
        <v>46198</v>
      </c>
      <c r="B23" s="136" t="s">
        <v>147</v>
      </c>
      <c r="C23" s="103" t="s">
        <v>99</v>
      </c>
      <c r="D23" s="103" t="s">
        <v>100</v>
      </c>
      <c r="E23" s="103" t="s">
        <v>106</v>
      </c>
      <c r="F23" s="103" t="s">
        <v>107</v>
      </c>
      <c r="G23" s="121">
        <v>40068</v>
      </c>
      <c r="H23" s="121">
        <v>59279</v>
      </c>
      <c r="I23" s="122">
        <v>61568</v>
      </c>
      <c r="J23" s="136" t="s">
        <v>101</v>
      </c>
      <c r="K23" s="136" t="s">
        <v>97</v>
      </c>
      <c r="L23" s="137">
        <v>256048</v>
      </c>
      <c r="M23" s="136">
        <v>1</v>
      </c>
      <c r="N23" s="138">
        <v>16500</v>
      </c>
      <c r="O23" s="136"/>
      <c r="P23" s="125">
        <v>46203</v>
      </c>
      <c r="Q23" s="125">
        <v>46203</v>
      </c>
      <c r="R23" s="138">
        <v>16500</v>
      </c>
      <c r="S23" s="138"/>
      <c r="T23" s="139"/>
      <c r="U23" s="139"/>
      <c r="V23" s="139"/>
      <c r="W23" s="139">
        <v>1000</v>
      </c>
      <c r="X23" s="139"/>
      <c r="Y23" s="139"/>
      <c r="Z23" s="139"/>
      <c r="AA23" s="139"/>
      <c r="AB23" s="139"/>
      <c r="AC23" s="139"/>
      <c r="AD23" s="140"/>
      <c r="AE23" s="139"/>
      <c r="AF23" s="140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42"/>
      <c r="AR23" s="136">
        <v>30</v>
      </c>
      <c r="AS23" s="141">
        <v>1</v>
      </c>
      <c r="AT23" s="141">
        <v>0.12</v>
      </c>
      <c r="AU23" s="127">
        <f t="shared" si="0"/>
        <v>700</v>
      </c>
      <c r="AV23" s="132">
        <v>13000</v>
      </c>
      <c r="AW23" s="133">
        <f t="shared" si="1"/>
        <v>14000</v>
      </c>
      <c r="AX23" s="133">
        <f t="shared" si="2"/>
        <v>14700</v>
      </c>
      <c r="AY23" s="133">
        <f t="shared" si="3"/>
        <v>1800</v>
      </c>
      <c r="AZ23" s="134">
        <f t="shared" si="4"/>
        <v>73</v>
      </c>
      <c r="BA23" s="134">
        <f t="shared" si="5"/>
        <v>80</v>
      </c>
      <c r="BB23" s="134">
        <f t="shared" si="6"/>
        <v>87</v>
      </c>
      <c r="BC23" s="134">
        <f t="shared" si="7"/>
        <v>92</v>
      </c>
    </row>
    <row r="24" spans="1:56" s="111" customFormat="1" ht="13.5" customHeight="1" x14ac:dyDescent="0.25">
      <c r="A24" s="135">
        <v>46196</v>
      </c>
      <c r="B24" s="136" t="s">
        <v>124</v>
      </c>
      <c r="C24" s="103" t="s">
        <v>125</v>
      </c>
      <c r="D24" s="103" t="s">
        <v>126</v>
      </c>
      <c r="E24" s="103" t="s">
        <v>91</v>
      </c>
      <c r="F24" s="103" t="s">
        <v>127</v>
      </c>
      <c r="G24" s="121">
        <v>40047</v>
      </c>
      <c r="H24" s="121">
        <v>59247</v>
      </c>
      <c r="I24" s="122">
        <v>61539</v>
      </c>
      <c r="J24" s="136" t="s">
        <v>128</v>
      </c>
      <c r="K24" s="136" t="s">
        <v>129</v>
      </c>
      <c r="L24" s="137" t="s">
        <v>149</v>
      </c>
      <c r="M24" s="136">
        <v>13</v>
      </c>
      <c r="N24" s="138">
        <v>28600</v>
      </c>
      <c r="O24" s="136"/>
      <c r="P24" s="125">
        <v>46202</v>
      </c>
      <c r="Q24" s="125">
        <v>46202</v>
      </c>
      <c r="R24" s="138">
        <v>28600</v>
      </c>
      <c r="S24" s="138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40"/>
      <c r="AE24" s="139"/>
      <c r="AF24" s="140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42"/>
      <c r="AR24" s="136">
        <v>30</v>
      </c>
      <c r="AS24" s="131">
        <v>0.1</v>
      </c>
      <c r="AT24" s="141">
        <v>7.0000000000000007E-2</v>
      </c>
      <c r="AU24" s="127">
        <f t="shared" si="0"/>
        <v>1267.5</v>
      </c>
      <c r="AV24" s="132">
        <v>25350</v>
      </c>
      <c r="AW24" s="133">
        <f t="shared" si="1"/>
        <v>25350</v>
      </c>
      <c r="AX24" s="133">
        <f t="shared" si="2"/>
        <v>26617.5</v>
      </c>
      <c r="AY24" s="133">
        <f t="shared" si="3"/>
        <v>1982.5</v>
      </c>
      <c r="AZ24" s="134">
        <f t="shared" si="4"/>
        <v>74</v>
      </c>
      <c r="BA24" s="134">
        <f t="shared" si="5"/>
        <v>81</v>
      </c>
      <c r="BB24" s="134">
        <f t="shared" si="6"/>
        <v>88</v>
      </c>
      <c r="BC24" s="134">
        <f t="shared" si="7"/>
        <v>93</v>
      </c>
      <c r="BD24" s="111" t="s">
        <v>207</v>
      </c>
    </row>
    <row r="25" spans="1:56" s="111" customFormat="1" ht="13.5" customHeight="1" x14ac:dyDescent="0.25">
      <c r="A25" s="135">
        <v>46197</v>
      </c>
      <c r="B25" s="136" t="s">
        <v>132</v>
      </c>
      <c r="C25" s="103" t="s">
        <v>133</v>
      </c>
      <c r="D25" s="103" t="s">
        <v>150</v>
      </c>
      <c r="E25" s="103" t="s">
        <v>83</v>
      </c>
      <c r="F25" s="103" t="s">
        <v>151</v>
      </c>
      <c r="G25" s="121">
        <v>40054</v>
      </c>
      <c r="H25" s="121">
        <v>59256</v>
      </c>
      <c r="I25" s="122">
        <v>61552</v>
      </c>
      <c r="J25" s="136" t="s">
        <v>130</v>
      </c>
      <c r="K25" s="136" t="s">
        <v>90</v>
      </c>
      <c r="L25" s="137">
        <v>1030001147</v>
      </c>
      <c r="M25" s="136">
        <v>8</v>
      </c>
      <c r="N25" s="138">
        <v>624000</v>
      </c>
      <c r="O25" s="136"/>
      <c r="P25" s="125">
        <v>46202</v>
      </c>
      <c r="Q25" s="125">
        <v>46202</v>
      </c>
      <c r="R25" s="138">
        <v>624000</v>
      </c>
      <c r="S25" s="138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40"/>
      <c r="AE25" s="139"/>
      <c r="AF25" s="140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42"/>
      <c r="AR25" s="136">
        <v>30</v>
      </c>
      <c r="AS25" s="141">
        <v>0.75</v>
      </c>
      <c r="AT25" s="131">
        <v>0.1</v>
      </c>
      <c r="AU25" s="127">
        <f t="shared" si="0"/>
        <v>27000</v>
      </c>
      <c r="AV25" s="132">
        <v>540000</v>
      </c>
      <c r="AW25" s="133">
        <f t="shared" si="1"/>
        <v>540000</v>
      </c>
      <c r="AX25" s="133">
        <f t="shared" si="2"/>
        <v>567000</v>
      </c>
      <c r="AY25" s="133">
        <f t="shared" si="3"/>
        <v>57000</v>
      </c>
      <c r="AZ25" s="134">
        <f t="shared" si="4"/>
        <v>74</v>
      </c>
      <c r="BA25" s="134">
        <f t="shared" si="5"/>
        <v>81</v>
      </c>
      <c r="BB25" s="134">
        <f t="shared" si="6"/>
        <v>88</v>
      </c>
      <c r="BC25" s="134">
        <f t="shared" si="7"/>
        <v>93</v>
      </c>
      <c r="BD25" s="111" t="s">
        <v>208</v>
      </c>
    </row>
    <row r="26" spans="1:56" s="111" customFormat="1" ht="13.5" customHeight="1" x14ac:dyDescent="0.25">
      <c r="A26" s="135">
        <v>46192</v>
      </c>
      <c r="B26" s="136" t="s">
        <v>152</v>
      </c>
      <c r="C26" s="103" t="s">
        <v>153</v>
      </c>
      <c r="D26" s="103" t="s">
        <v>154</v>
      </c>
      <c r="E26" s="119" t="s">
        <v>142</v>
      </c>
      <c r="F26" s="103" t="s">
        <v>155</v>
      </c>
      <c r="G26" s="121">
        <v>39993</v>
      </c>
      <c r="H26" s="121">
        <v>59182</v>
      </c>
      <c r="I26" s="122">
        <v>61503</v>
      </c>
      <c r="J26" s="116" t="s">
        <v>122</v>
      </c>
      <c r="K26" s="136" t="s">
        <v>82</v>
      </c>
      <c r="L26" s="137" t="s">
        <v>156</v>
      </c>
      <c r="M26" s="116">
        <v>2</v>
      </c>
      <c r="N26" s="124">
        <v>11920</v>
      </c>
      <c r="O26" s="136"/>
      <c r="P26" s="125">
        <v>46196</v>
      </c>
      <c r="Q26" s="125">
        <v>46196</v>
      </c>
      <c r="R26" s="124">
        <v>11920</v>
      </c>
      <c r="S26" s="124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40"/>
      <c r="AE26" s="139"/>
      <c r="AF26" s="140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42"/>
      <c r="AR26" s="136">
        <v>30</v>
      </c>
      <c r="AS26" s="131">
        <v>0.1</v>
      </c>
      <c r="AT26" s="131">
        <v>0.06</v>
      </c>
      <c r="AU26" s="127">
        <f t="shared" si="0"/>
        <v>531.30000000000007</v>
      </c>
      <c r="AV26" s="132">
        <v>10626</v>
      </c>
      <c r="AW26" s="133">
        <f t="shared" si="1"/>
        <v>10626</v>
      </c>
      <c r="AX26" s="133">
        <f t="shared" si="2"/>
        <v>11157.3</v>
      </c>
      <c r="AY26" s="133">
        <f t="shared" si="3"/>
        <v>762.70000000000073</v>
      </c>
      <c r="AZ26" s="134">
        <f t="shared" si="4"/>
        <v>80</v>
      </c>
      <c r="BA26" s="134">
        <f t="shared" si="5"/>
        <v>87</v>
      </c>
      <c r="BB26" s="134">
        <f t="shared" si="6"/>
        <v>94</v>
      </c>
      <c r="BC26" s="134">
        <f t="shared" si="7"/>
        <v>99</v>
      </c>
    </row>
    <row r="27" spans="1:56" s="111" customFormat="1" ht="13.5" customHeight="1" x14ac:dyDescent="0.25">
      <c r="A27" s="135">
        <v>46188</v>
      </c>
      <c r="B27" s="136" t="s">
        <v>160</v>
      </c>
      <c r="C27" s="103" t="s">
        <v>161</v>
      </c>
      <c r="D27" s="103" t="s">
        <v>162</v>
      </c>
      <c r="E27" s="119" t="s">
        <v>83</v>
      </c>
      <c r="F27" s="103" t="s">
        <v>120</v>
      </c>
      <c r="G27" s="121">
        <v>39948</v>
      </c>
      <c r="H27" s="121">
        <v>59126</v>
      </c>
      <c r="I27" s="122">
        <v>61448</v>
      </c>
      <c r="J27" s="116" t="s">
        <v>122</v>
      </c>
      <c r="K27" s="116" t="s">
        <v>82</v>
      </c>
      <c r="L27" s="137" t="s">
        <v>163</v>
      </c>
      <c r="M27" s="116">
        <v>2</v>
      </c>
      <c r="N27" s="124">
        <f>15460-15270.62</f>
        <v>189.3799999999992</v>
      </c>
      <c r="O27" s="136"/>
      <c r="P27" s="125">
        <v>46190</v>
      </c>
      <c r="Q27" s="125">
        <v>46190</v>
      </c>
      <c r="R27" s="124">
        <f>15460-15270.62</f>
        <v>189.3799999999992</v>
      </c>
      <c r="S27" s="126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40"/>
      <c r="AE27" s="139"/>
      <c r="AF27" s="140"/>
      <c r="AG27" s="139"/>
      <c r="AH27" s="139"/>
      <c r="AI27" s="139"/>
      <c r="AJ27" s="139"/>
      <c r="AK27" s="139"/>
      <c r="AL27" s="139">
        <v>138.04</v>
      </c>
      <c r="AM27" s="139"/>
      <c r="AN27" s="139"/>
      <c r="AO27" s="139"/>
      <c r="AP27" s="139"/>
      <c r="AQ27" s="142">
        <v>31906</v>
      </c>
      <c r="AR27" s="136">
        <v>30</v>
      </c>
      <c r="AS27" s="131">
        <v>1</v>
      </c>
      <c r="AT27" s="131">
        <v>0.13</v>
      </c>
      <c r="AU27" s="127">
        <f t="shared" si="0"/>
        <v>650</v>
      </c>
      <c r="AV27" s="132">
        <v>13000</v>
      </c>
      <c r="AW27" s="133">
        <f t="shared" si="1"/>
        <v>13000</v>
      </c>
      <c r="AX27" s="133">
        <f t="shared" si="2"/>
        <v>13650</v>
      </c>
      <c r="AY27" s="133">
        <f t="shared" si="3"/>
        <v>-13460.62</v>
      </c>
      <c r="AZ27" s="134">
        <f t="shared" si="4"/>
        <v>86</v>
      </c>
      <c r="BA27" s="134">
        <f t="shared" si="5"/>
        <v>93</v>
      </c>
      <c r="BB27" s="134">
        <f t="shared" si="6"/>
        <v>100</v>
      </c>
      <c r="BC27" s="134">
        <f t="shared" si="7"/>
        <v>105</v>
      </c>
    </row>
    <row r="28" spans="1:56" s="111" customFormat="1" ht="13.5" customHeight="1" x14ac:dyDescent="0.25">
      <c r="A28" s="118">
        <v>46122</v>
      </c>
      <c r="B28" s="116" t="s">
        <v>164</v>
      </c>
      <c r="C28" s="119" t="s">
        <v>165</v>
      </c>
      <c r="D28" s="120" t="s">
        <v>166</v>
      </c>
      <c r="E28" s="119" t="s">
        <v>121</v>
      </c>
      <c r="F28" s="112" t="s">
        <v>167</v>
      </c>
      <c r="G28" s="121">
        <v>39939</v>
      </c>
      <c r="H28" s="121">
        <v>59116</v>
      </c>
      <c r="I28" s="122">
        <v>60797</v>
      </c>
      <c r="J28" s="116" t="s">
        <v>137</v>
      </c>
      <c r="K28" s="116" t="s">
        <v>138</v>
      </c>
      <c r="L28" s="123">
        <v>3877</v>
      </c>
      <c r="M28" s="116">
        <v>1</v>
      </c>
      <c r="N28" s="124">
        <v>9600</v>
      </c>
      <c r="O28" s="124"/>
      <c r="P28" s="125">
        <v>46189</v>
      </c>
      <c r="Q28" s="125">
        <v>46189</v>
      </c>
      <c r="R28" s="126">
        <v>9600</v>
      </c>
      <c r="S28" s="126"/>
      <c r="T28" s="127"/>
      <c r="U28" s="127"/>
      <c r="V28" s="120"/>
      <c r="W28" s="120"/>
      <c r="X28" s="128"/>
      <c r="Y28" s="120"/>
      <c r="Z28" s="120">
        <v>336</v>
      </c>
      <c r="AA28" s="120"/>
      <c r="AB28" s="120"/>
      <c r="AC28" s="120"/>
      <c r="AD28" s="129"/>
      <c r="AE28" s="127"/>
      <c r="AF28" s="129"/>
      <c r="AG28" s="127"/>
      <c r="AH28" s="127"/>
      <c r="AI28" s="127"/>
      <c r="AJ28" s="127"/>
      <c r="AK28" s="120"/>
      <c r="AL28" s="127"/>
      <c r="AM28" s="120"/>
      <c r="AN28" s="120"/>
      <c r="AO28" s="120"/>
      <c r="AP28" s="120"/>
      <c r="AQ28" s="130"/>
      <c r="AR28" s="116">
        <v>90</v>
      </c>
      <c r="AS28" s="131">
        <v>0.03</v>
      </c>
      <c r="AT28" s="131">
        <v>0.03</v>
      </c>
      <c r="AU28" s="127">
        <f t="shared" si="0"/>
        <v>395.88049999999998</v>
      </c>
      <c r="AV28" s="132">
        <v>7581.61</v>
      </c>
      <c r="AW28" s="133">
        <f t="shared" si="1"/>
        <v>7917.61</v>
      </c>
      <c r="AX28" s="133">
        <f t="shared" si="2"/>
        <v>8313.4904999999999</v>
      </c>
      <c r="AY28" s="133">
        <f t="shared" si="3"/>
        <v>1286.5095000000001</v>
      </c>
      <c r="AZ28" s="134">
        <f t="shared" si="4"/>
        <v>87</v>
      </c>
      <c r="BA28" s="134">
        <f t="shared" si="5"/>
        <v>94</v>
      </c>
      <c r="BB28" s="134">
        <f t="shared" si="6"/>
        <v>101</v>
      </c>
      <c r="BC28" s="134">
        <f t="shared" si="7"/>
        <v>106</v>
      </c>
    </row>
    <row r="29" spans="1:56" s="111" customFormat="1" ht="13.5" customHeight="1" x14ac:dyDescent="0.25">
      <c r="A29" s="118">
        <v>46177</v>
      </c>
      <c r="B29" s="116" t="s">
        <v>114</v>
      </c>
      <c r="C29" s="119" t="s">
        <v>115</v>
      </c>
      <c r="D29" s="120" t="s">
        <v>116</v>
      </c>
      <c r="E29" s="119" t="s">
        <v>117</v>
      </c>
      <c r="F29" s="103" t="s">
        <v>118</v>
      </c>
      <c r="G29" s="121">
        <v>39922</v>
      </c>
      <c r="H29" s="121">
        <v>59095</v>
      </c>
      <c r="I29" s="122">
        <v>61381</v>
      </c>
      <c r="J29" s="116" t="s">
        <v>113</v>
      </c>
      <c r="K29" s="116" t="s">
        <v>88</v>
      </c>
      <c r="L29" s="123">
        <v>4500692829</v>
      </c>
      <c r="M29" s="116">
        <v>3</v>
      </c>
      <c r="N29" s="124">
        <v>18599.990000000002</v>
      </c>
      <c r="O29" s="124"/>
      <c r="P29" s="125">
        <v>46184</v>
      </c>
      <c r="Q29" s="125">
        <v>46184</v>
      </c>
      <c r="R29" s="126">
        <v>18599.990000000002</v>
      </c>
      <c r="S29" s="126"/>
      <c r="T29" s="127"/>
      <c r="U29" s="127"/>
      <c r="V29" s="120"/>
      <c r="W29" s="120"/>
      <c r="X29" s="128"/>
      <c r="Y29" s="120"/>
      <c r="Z29" s="120"/>
      <c r="AA29" s="120"/>
      <c r="AB29" s="120"/>
      <c r="AC29" s="120"/>
      <c r="AD29" s="129"/>
      <c r="AE29" s="127"/>
      <c r="AF29" s="129"/>
      <c r="AG29" s="127"/>
      <c r="AH29" s="127"/>
      <c r="AI29" s="127"/>
      <c r="AJ29" s="127"/>
      <c r="AK29" s="120"/>
      <c r="AL29" s="127"/>
      <c r="AM29" s="120"/>
      <c r="AN29" s="120"/>
      <c r="AO29" s="120"/>
      <c r="AP29" s="120"/>
      <c r="AQ29" s="130"/>
      <c r="AR29" s="116">
        <v>30</v>
      </c>
      <c r="AS29" s="131">
        <v>1</v>
      </c>
      <c r="AT29" s="131">
        <v>0.14000000000000001</v>
      </c>
      <c r="AU29" s="127">
        <f t="shared" si="0"/>
        <v>772.80000000000007</v>
      </c>
      <c r="AV29" s="132">
        <v>15456</v>
      </c>
      <c r="AW29" s="133">
        <f t="shared" ref="AW29:AW33" si="8">AV29+T29+U29+W29+X29+Y29+Z29+AC29+AI29+AB29+AA29</f>
        <v>15456</v>
      </c>
      <c r="AX29" s="133">
        <f t="shared" ref="AX29:AX33" si="9">AW29+AU29+AN29</f>
        <v>16228.8</v>
      </c>
      <c r="AY29" s="133">
        <f t="shared" ref="AY29:AY33" si="10">N29-AX29-V29</f>
        <v>2371.1900000000023</v>
      </c>
      <c r="AZ29" s="134">
        <f t="shared" si="4"/>
        <v>92</v>
      </c>
      <c r="BA29" s="134">
        <f t="shared" si="5"/>
        <v>99</v>
      </c>
      <c r="BB29" s="134">
        <f t="shared" si="6"/>
        <v>106</v>
      </c>
      <c r="BC29" s="134">
        <f t="shared" si="7"/>
        <v>111</v>
      </c>
    </row>
    <row r="30" spans="1:56" s="111" customFormat="1" ht="13.5" customHeight="1" x14ac:dyDescent="0.25">
      <c r="A30" s="118">
        <v>46170</v>
      </c>
      <c r="B30" s="116" t="s">
        <v>102</v>
      </c>
      <c r="C30" s="119" t="s">
        <v>110</v>
      </c>
      <c r="D30" s="120" t="s">
        <v>109</v>
      </c>
      <c r="E30" s="119" t="s">
        <v>111</v>
      </c>
      <c r="F30" s="112" t="s">
        <v>112</v>
      </c>
      <c r="G30" s="142"/>
      <c r="H30" s="142">
        <v>59031</v>
      </c>
      <c r="I30" s="122">
        <v>61310</v>
      </c>
      <c r="J30" s="116" t="s">
        <v>85</v>
      </c>
      <c r="K30" s="116" t="s">
        <v>82</v>
      </c>
      <c r="L30" s="123" t="s">
        <v>84</v>
      </c>
      <c r="M30" s="116">
        <v>1</v>
      </c>
      <c r="N30" s="124">
        <v>281620</v>
      </c>
      <c r="O30" s="124"/>
      <c r="P30" s="135">
        <v>46176</v>
      </c>
      <c r="Q30" s="135">
        <v>46176</v>
      </c>
      <c r="R30" s="126">
        <v>281620</v>
      </c>
      <c r="S30" s="126"/>
      <c r="T30" s="127">
        <v>20700</v>
      </c>
      <c r="U30" s="127"/>
      <c r="V30" s="120"/>
      <c r="W30" s="120"/>
      <c r="X30" s="128"/>
      <c r="Y30" s="120"/>
      <c r="Z30" s="120"/>
      <c r="AA30" s="120"/>
      <c r="AB30" s="120"/>
      <c r="AC30" s="120"/>
      <c r="AD30" s="129"/>
      <c r="AE30" s="127"/>
      <c r="AF30" s="129"/>
      <c r="AG30" s="127"/>
      <c r="AH30" s="127"/>
      <c r="AI30" s="127"/>
      <c r="AJ30" s="127"/>
      <c r="AK30" s="120"/>
      <c r="AL30" s="127"/>
      <c r="AM30" s="120"/>
      <c r="AN30" s="120"/>
      <c r="AO30" s="120"/>
      <c r="AP30" s="120"/>
      <c r="AQ30" s="130"/>
      <c r="AR30" s="116">
        <v>30</v>
      </c>
      <c r="AS30" s="131">
        <v>1</v>
      </c>
      <c r="AT30" s="131">
        <v>0.14000000000000001</v>
      </c>
      <c r="AU30" s="127">
        <f t="shared" si="0"/>
        <v>11700.6</v>
      </c>
      <c r="AV30" s="132">
        <v>213312</v>
      </c>
      <c r="AW30" s="133">
        <f t="shared" si="8"/>
        <v>234012</v>
      </c>
      <c r="AX30" s="133">
        <f t="shared" si="9"/>
        <v>245712.6</v>
      </c>
      <c r="AY30" s="133">
        <f t="shared" si="10"/>
        <v>35907.399999999994</v>
      </c>
      <c r="AZ30" s="134">
        <f t="shared" si="4"/>
        <v>100</v>
      </c>
      <c r="BA30" s="134">
        <f t="shared" si="5"/>
        <v>107</v>
      </c>
      <c r="BB30" s="134">
        <f t="shared" si="6"/>
        <v>114</v>
      </c>
      <c r="BC30" s="134">
        <f t="shared" si="7"/>
        <v>119</v>
      </c>
    </row>
    <row r="31" spans="1:56" s="111" customFormat="1" ht="13.5" customHeight="1" x14ac:dyDescent="0.25">
      <c r="A31" s="118">
        <v>46153</v>
      </c>
      <c r="B31" s="116" t="s">
        <v>105</v>
      </c>
      <c r="C31" s="103" t="s">
        <v>99</v>
      </c>
      <c r="D31" s="103" t="s">
        <v>100</v>
      </c>
      <c r="E31" s="119" t="s">
        <v>106</v>
      </c>
      <c r="F31" s="103" t="s">
        <v>107</v>
      </c>
      <c r="G31" s="121">
        <v>39738</v>
      </c>
      <c r="H31" s="121">
        <v>58864</v>
      </c>
      <c r="I31" s="122">
        <v>61113</v>
      </c>
      <c r="J31" s="116" t="s">
        <v>101</v>
      </c>
      <c r="K31" s="116" t="s">
        <v>97</v>
      </c>
      <c r="L31" s="123">
        <v>254276</v>
      </c>
      <c r="M31" s="116">
        <v>3</v>
      </c>
      <c r="N31" s="124">
        <v>49500</v>
      </c>
      <c r="O31" s="124"/>
      <c r="P31" s="125">
        <v>46163</v>
      </c>
      <c r="Q31" s="125">
        <v>46163</v>
      </c>
      <c r="R31" s="126">
        <v>49500</v>
      </c>
      <c r="S31" s="126"/>
      <c r="T31" s="127"/>
      <c r="U31" s="127"/>
      <c r="V31" s="120"/>
      <c r="W31" s="120">
        <v>1500</v>
      </c>
      <c r="X31" s="128"/>
      <c r="Y31" s="120"/>
      <c r="Z31" s="120"/>
      <c r="AA31" s="120"/>
      <c r="AB31" s="120"/>
      <c r="AC31" s="120"/>
      <c r="AD31" s="129"/>
      <c r="AE31" s="124"/>
      <c r="AF31" s="129"/>
      <c r="AG31" s="127"/>
      <c r="AH31" s="127"/>
      <c r="AI31" s="127"/>
      <c r="AJ31" s="127"/>
      <c r="AK31" s="120"/>
      <c r="AL31" s="127"/>
      <c r="AM31" s="120"/>
      <c r="AN31" s="120"/>
      <c r="AO31" s="120"/>
      <c r="AP31" s="120"/>
      <c r="AQ31" s="130"/>
      <c r="AR31" s="116">
        <v>30</v>
      </c>
      <c r="AS31" s="131">
        <v>1</v>
      </c>
      <c r="AT31" s="131">
        <v>0.16</v>
      </c>
      <c r="AU31" s="127">
        <f t="shared" si="0"/>
        <v>2025</v>
      </c>
      <c r="AV31" s="132">
        <v>39000</v>
      </c>
      <c r="AW31" s="133">
        <f t="shared" si="8"/>
        <v>40500</v>
      </c>
      <c r="AX31" s="133">
        <f t="shared" si="9"/>
        <v>42525</v>
      </c>
      <c r="AY31" s="133">
        <f t="shared" si="10"/>
        <v>6975</v>
      </c>
      <c r="AZ31" s="134">
        <f t="shared" si="4"/>
        <v>113</v>
      </c>
      <c r="BA31" s="134">
        <f t="shared" si="5"/>
        <v>120</v>
      </c>
      <c r="BB31" s="134">
        <f t="shared" si="6"/>
        <v>127</v>
      </c>
      <c r="BC31" s="134">
        <f t="shared" si="7"/>
        <v>132</v>
      </c>
    </row>
    <row r="32" spans="1:56" s="111" customFormat="1" ht="13.5" customHeight="1" x14ac:dyDescent="0.25">
      <c r="A32" s="118">
        <v>46156</v>
      </c>
      <c r="B32" s="116" t="s">
        <v>102</v>
      </c>
      <c r="C32" s="119" t="s">
        <v>103</v>
      </c>
      <c r="D32" s="120" t="s">
        <v>104</v>
      </c>
      <c r="E32" s="119" t="s">
        <v>98</v>
      </c>
      <c r="F32" s="103" t="s">
        <v>108</v>
      </c>
      <c r="G32" s="121">
        <v>39695</v>
      </c>
      <c r="H32" s="121">
        <v>58818</v>
      </c>
      <c r="I32" s="122">
        <v>61156</v>
      </c>
      <c r="J32" s="116" t="s">
        <v>85</v>
      </c>
      <c r="K32" s="116" t="s">
        <v>82</v>
      </c>
      <c r="L32" s="123" t="s">
        <v>84</v>
      </c>
      <c r="M32" s="116">
        <v>4</v>
      </c>
      <c r="N32" s="124">
        <v>459800</v>
      </c>
      <c r="O32" s="124"/>
      <c r="P32" s="125">
        <v>46161</v>
      </c>
      <c r="Q32" s="125">
        <v>46161</v>
      </c>
      <c r="R32" s="126">
        <v>459800</v>
      </c>
      <c r="S32" s="126"/>
      <c r="T32" s="127">
        <v>6900</v>
      </c>
      <c r="U32" s="127"/>
      <c r="V32" s="120"/>
      <c r="W32" s="120"/>
      <c r="X32" s="128"/>
      <c r="Y32" s="120"/>
      <c r="Z32" s="120"/>
      <c r="AA32" s="120"/>
      <c r="AB32" s="120"/>
      <c r="AC32" s="120"/>
      <c r="AD32" s="129"/>
      <c r="AE32" s="127"/>
      <c r="AF32" s="129"/>
      <c r="AG32" s="127"/>
      <c r="AH32" s="127"/>
      <c r="AI32" s="127"/>
      <c r="AJ32" s="127"/>
      <c r="AK32" s="120"/>
      <c r="AL32" s="127"/>
      <c r="AM32" s="120"/>
      <c r="AN32" s="120"/>
      <c r="AO32" s="120"/>
      <c r="AP32" s="120">
        <f>0.48+0.48</f>
        <v>0.96</v>
      </c>
      <c r="AQ32" s="130"/>
      <c r="AR32" s="116">
        <v>30</v>
      </c>
      <c r="AS32" s="131">
        <v>1</v>
      </c>
      <c r="AT32" s="131">
        <v>0.13</v>
      </c>
      <c r="AU32" s="127">
        <f t="shared" si="0"/>
        <v>19345</v>
      </c>
      <c r="AV32" s="132">
        <v>380000</v>
      </c>
      <c r="AW32" s="133">
        <f t="shared" si="8"/>
        <v>386900</v>
      </c>
      <c r="AX32" s="133">
        <f t="shared" si="9"/>
        <v>406245</v>
      </c>
      <c r="AY32" s="133">
        <f t="shared" si="10"/>
        <v>53555</v>
      </c>
      <c r="AZ32" s="134">
        <f t="shared" si="4"/>
        <v>115</v>
      </c>
      <c r="BA32" s="134">
        <f t="shared" si="5"/>
        <v>122</v>
      </c>
      <c r="BB32" s="134">
        <f t="shared" si="6"/>
        <v>129</v>
      </c>
      <c r="BC32" s="134">
        <f t="shared" si="7"/>
        <v>134</v>
      </c>
    </row>
    <row r="33" spans="1:56" s="111" customFormat="1" ht="13.5" customHeight="1" x14ac:dyDescent="0.3">
      <c r="A33" s="118">
        <v>46104</v>
      </c>
      <c r="B33" s="116" t="s">
        <v>89</v>
      </c>
      <c r="C33" s="119" t="s">
        <v>93</v>
      </c>
      <c r="D33" s="120" t="s">
        <v>86</v>
      </c>
      <c r="E33" s="119" t="s">
        <v>83</v>
      </c>
      <c r="F33" s="103" t="s">
        <v>94</v>
      </c>
      <c r="G33" s="143" t="s">
        <v>95</v>
      </c>
      <c r="H33" s="143" t="s">
        <v>95</v>
      </c>
      <c r="I33" s="122">
        <v>60589</v>
      </c>
      <c r="J33" s="116" t="s">
        <v>87</v>
      </c>
      <c r="K33" s="116"/>
      <c r="L33" s="123"/>
      <c r="M33" s="116">
        <v>1</v>
      </c>
      <c r="N33" s="124">
        <v>20796</v>
      </c>
      <c r="O33" s="124"/>
      <c r="P33" s="125">
        <v>46142</v>
      </c>
      <c r="Q33" s="125">
        <v>46142</v>
      </c>
      <c r="R33" s="126">
        <v>20796</v>
      </c>
      <c r="S33" s="126"/>
      <c r="T33" s="127"/>
      <c r="U33" s="127"/>
      <c r="V33" s="120"/>
      <c r="W33" s="120"/>
      <c r="X33" s="128"/>
      <c r="Y33" s="120"/>
      <c r="Z33" s="120"/>
      <c r="AA33" s="120"/>
      <c r="AB33" s="120"/>
      <c r="AC33" s="120"/>
      <c r="AD33" s="129"/>
      <c r="AE33" s="127"/>
      <c r="AF33" s="129"/>
      <c r="AG33" s="127"/>
      <c r="AH33" s="127"/>
      <c r="AI33" s="127"/>
      <c r="AJ33" s="127"/>
      <c r="AK33" s="120"/>
      <c r="AL33" s="127"/>
      <c r="AM33" s="120"/>
      <c r="AN33" s="120"/>
      <c r="AO33" s="120"/>
      <c r="AP33" s="120"/>
      <c r="AQ33" s="130"/>
      <c r="AR33" s="116" t="s">
        <v>92</v>
      </c>
      <c r="AS33" s="131">
        <v>0</v>
      </c>
      <c r="AT33" s="131">
        <v>0</v>
      </c>
      <c r="AU33" s="127"/>
      <c r="AV33" s="132">
        <v>20796</v>
      </c>
      <c r="AW33" s="133">
        <f t="shared" si="8"/>
        <v>20796</v>
      </c>
      <c r="AX33" s="133">
        <f t="shared" si="9"/>
        <v>20796</v>
      </c>
      <c r="AY33" s="133">
        <f t="shared" si="10"/>
        <v>0</v>
      </c>
      <c r="AZ33" s="134">
        <f t="shared" si="4"/>
        <v>134</v>
      </c>
      <c r="BA33" s="134">
        <f t="shared" si="5"/>
        <v>141</v>
      </c>
      <c r="BB33" s="134">
        <f t="shared" si="6"/>
        <v>148</v>
      </c>
      <c r="BC33" s="134">
        <f t="shared" si="7"/>
        <v>153</v>
      </c>
      <c r="BD33" s="180" t="s">
        <v>209</v>
      </c>
    </row>
    <row r="34" spans="1:56" ht="15" customHeight="1" x14ac:dyDescent="0.25">
      <c r="A34" s="34"/>
      <c r="B34" s="12"/>
      <c r="D34" s="161"/>
      <c r="F34" s="161"/>
      <c r="G34" s="12"/>
      <c r="H34" s="166"/>
      <c r="I34" s="167"/>
      <c r="J34" s="12"/>
      <c r="K34" s="12"/>
      <c r="L34" s="39"/>
      <c r="M34" s="12"/>
      <c r="N34" s="15"/>
      <c r="P34" s="162"/>
      <c r="Q34" s="162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63"/>
      <c r="AE34" s="15"/>
      <c r="AF34" s="163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68"/>
      <c r="AR34" s="11"/>
      <c r="AS34" s="171"/>
      <c r="AT34" s="171"/>
      <c r="AU34" s="7"/>
      <c r="AV34" s="169"/>
      <c r="AW34" s="1"/>
      <c r="AX34" s="1"/>
      <c r="AY34" s="1"/>
      <c r="AZ34" s="12"/>
      <c r="BA34" s="12"/>
      <c r="BB34" s="12"/>
      <c r="BC34" s="12"/>
    </row>
    <row r="35" spans="1:56" ht="13.2" customHeight="1" x14ac:dyDescent="0.25">
      <c r="A35" s="34"/>
      <c r="B35" s="12"/>
      <c r="C35" s="161"/>
      <c r="D35" s="161"/>
      <c r="E35" s="65"/>
      <c r="G35" s="166"/>
      <c r="H35" s="166"/>
      <c r="I35" s="172"/>
      <c r="J35" s="6"/>
      <c r="K35" s="12"/>
      <c r="L35" s="12"/>
      <c r="M35" s="6"/>
      <c r="N35" s="13"/>
      <c r="O35" s="12"/>
      <c r="P35" s="162"/>
      <c r="Q35" s="162"/>
      <c r="R35" s="13"/>
      <c r="S35" s="13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63"/>
      <c r="AE35" s="15"/>
      <c r="AF35" s="163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68"/>
      <c r="AR35" s="12"/>
      <c r="AS35" s="41"/>
      <c r="AT35" s="41"/>
      <c r="AU35" s="7"/>
      <c r="AV35" s="169"/>
      <c r="AW35" s="1"/>
      <c r="AX35" s="1"/>
      <c r="AY35" s="1"/>
      <c r="AZ35" s="173"/>
      <c r="BA35" s="173"/>
      <c r="BB35" s="173"/>
      <c r="BC35" s="173"/>
    </row>
    <row r="36" spans="1:56" ht="13.2" customHeight="1" x14ac:dyDescent="0.25">
      <c r="A36" s="34"/>
      <c r="D36" s="161"/>
      <c r="G36" s="166"/>
      <c r="H36" s="166"/>
      <c r="I36" s="167"/>
      <c r="J36" s="12"/>
      <c r="K36" s="12"/>
      <c r="L36" s="12"/>
      <c r="M36" s="12"/>
      <c r="N36" s="15"/>
      <c r="P36" s="162"/>
      <c r="Q36" s="162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3"/>
      <c r="AE36" s="15"/>
      <c r="AF36" s="164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2"/>
      <c r="AR36" s="12"/>
      <c r="AS36" s="171"/>
      <c r="AT36" s="171"/>
      <c r="AU36" s="7"/>
      <c r="AV36" s="169"/>
      <c r="AW36" s="1"/>
      <c r="AX36" s="1"/>
      <c r="AY36" s="1"/>
      <c r="AZ36" s="173"/>
      <c r="BA36" s="173"/>
      <c r="BB36" s="173"/>
      <c r="BC36" s="173"/>
    </row>
    <row r="37" spans="1:56" ht="13.2" customHeight="1" x14ac:dyDescent="0.25">
      <c r="A37" s="34"/>
      <c r="B37" s="12"/>
      <c r="C37" s="161"/>
      <c r="D37" s="161"/>
      <c r="F37" s="161"/>
      <c r="G37" s="174"/>
      <c r="H37" s="174"/>
      <c r="I37" s="167"/>
      <c r="J37" s="12"/>
      <c r="K37" s="12"/>
      <c r="L37" s="12"/>
      <c r="M37" s="12"/>
      <c r="N37" s="15"/>
      <c r="O37" s="15"/>
      <c r="P37" s="163"/>
      <c r="Q37" s="163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3"/>
      <c r="AE37" s="15"/>
      <c r="AF37" s="163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2"/>
      <c r="AR37" s="12"/>
      <c r="AS37" s="171"/>
      <c r="AT37" s="171"/>
      <c r="AU37" s="7"/>
      <c r="AV37" s="169"/>
      <c r="AW37" s="1"/>
      <c r="AX37" s="1"/>
      <c r="AY37" s="1"/>
      <c r="AZ37" s="173"/>
      <c r="BA37" s="173"/>
      <c r="BB37" s="173"/>
      <c r="BC37" s="173"/>
    </row>
    <row r="38" spans="1:56" ht="13.2" customHeight="1" x14ac:dyDescent="0.25">
      <c r="A38" s="34"/>
      <c r="B38" s="12"/>
      <c r="C38" s="11"/>
      <c r="D38" s="161"/>
      <c r="G38" s="174"/>
      <c r="H38" s="174"/>
      <c r="I38" s="167"/>
      <c r="J38" s="12"/>
      <c r="K38" s="12"/>
      <c r="L38" s="12"/>
      <c r="M38" s="12"/>
      <c r="N38" s="15"/>
      <c r="P38" s="34"/>
      <c r="Q38" s="34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3"/>
      <c r="AE38" s="15"/>
      <c r="AF38" s="164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2"/>
      <c r="AR38" s="12"/>
      <c r="AS38" s="171"/>
      <c r="AT38" s="171"/>
      <c r="AU38" s="7"/>
      <c r="AV38" s="169"/>
      <c r="AW38" s="1"/>
      <c r="AX38" s="1"/>
      <c r="AY38" s="1"/>
      <c r="AZ38" s="173"/>
      <c r="BA38" s="173"/>
      <c r="BB38" s="173"/>
      <c r="BC38" s="173"/>
    </row>
    <row r="39" spans="1:56" ht="13.2" customHeight="1" x14ac:dyDescent="0.25">
      <c r="A39" s="34"/>
      <c r="B39" s="12"/>
      <c r="D39" s="161"/>
      <c r="F39" s="161"/>
      <c r="G39" s="12"/>
      <c r="H39" s="166"/>
      <c r="I39" s="175"/>
      <c r="J39" s="12"/>
      <c r="K39" s="12"/>
      <c r="L39" s="12"/>
      <c r="M39" s="12"/>
      <c r="N39" s="15"/>
      <c r="P39" s="162"/>
      <c r="Q39" s="162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3"/>
      <c r="AE39" s="15"/>
      <c r="AF39" s="163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2"/>
      <c r="AR39" s="12"/>
      <c r="AS39" s="171"/>
      <c r="AT39" s="171"/>
      <c r="AU39" s="7"/>
      <c r="AV39" s="169"/>
      <c r="AW39" s="1"/>
      <c r="AX39" s="1"/>
      <c r="AY39" s="1"/>
      <c r="AZ39" s="173"/>
      <c r="BA39" s="173"/>
      <c r="BB39" s="173"/>
      <c r="BC39" s="173"/>
    </row>
    <row r="40" spans="1:56" ht="13.2" customHeight="1" x14ac:dyDescent="0.25">
      <c r="A40" s="24"/>
      <c r="B40" s="6"/>
      <c r="C40" s="65"/>
      <c r="D40" s="161"/>
      <c r="E40" s="65"/>
      <c r="F40" s="65"/>
      <c r="G40" s="6"/>
      <c r="H40" s="166"/>
      <c r="I40" s="172"/>
      <c r="J40" s="6"/>
      <c r="K40" s="6"/>
      <c r="L40" s="6"/>
      <c r="M40" s="6"/>
      <c r="N40" s="13"/>
      <c r="O40" s="13"/>
      <c r="P40" s="162"/>
      <c r="Q40" s="162"/>
      <c r="R40" s="13"/>
      <c r="S40" s="25"/>
      <c r="T40" s="7"/>
      <c r="U40" s="7"/>
      <c r="V40" s="176"/>
      <c r="W40" s="176"/>
      <c r="X40" s="37"/>
      <c r="Y40" s="176"/>
      <c r="Z40" s="176"/>
      <c r="AA40" s="176"/>
      <c r="AB40" s="176"/>
      <c r="AC40" s="176"/>
      <c r="AD40" s="74"/>
      <c r="AE40" s="7"/>
      <c r="AF40" s="74"/>
      <c r="AG40" s="7"/>
      <c r="AH40" s="7"/>
      <c r="AI40" s="7"/>
      <c r="AJ40" s="7"/>
      <c r="AK40" s="176"/>
      <c r="AL40" s="7"/>
      <c r="AM40" s="176"/>
      <c r="AN40" s="176"/>
      <c r="AO40" s="176"/>
      <c r="AP40" s="176"/>
      <c r="AQ40" s="177"/>
      <c r="AR40" s="165"/>
      <c r="AS40" s="41"/>
      <c r="AT40" s="41"/>
      <c r="AU40" s="7"/>
      <c r="AV40" s="169"/>
      <c r="AW40" s="1"/>
      <c r="AX40" s="1"/>
      <c r="AY40" s="1"/>
      <c r="AZ40" s="173"/>
      <c r="BA40" s="173"/>
      <c r="BB40" s="173"/>
      <c r="BC40" s="173"/>
    </row>
    <row r="41" spans="1:56" ht="13.2" customHeight="1" x14ac:dyDescent="0.25">
      <c r="A41" s="34"/>
      <c r="B41" s="12"/>
      <c r="D41" s="161"/>
      <c r="F41" s="161"/>
      <c r="G41" s="166"/>
      <c r="H41" s="166"/>
      <c r="I41" s="167"/>
      <c r="J41" s="12"/>
      <c r="K41" s="12"/>
      <c r="L41" s="12"/>
      <c r="M41" s="12"/>
      <c r="N41" s="15"/>
      <c r="P41" s="162"/>
      <c r="Q41" s="162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3"/>
      <c r="AE41" s="15"/>
      <c r="AF41" s="163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2"/>
      <c r="AR41" s="12"/>
      <c r="AS41" s="171"/>
      <c r="AT41" s="171"/>
      <c r="AU41" s="7"/>
      <c r="AV41" s="169"/>
      <c r="AW41" s="1"/>
      <c r="AX41" s="1"/>
      <c r="AY41" s="1"/>
      <c r="AZ41" s="173"/>
      <c r="BA41" s="173"/>
      <c r="BB41" s="173"/>
      <c r="BC41" s="173"/>
    </row>
    <row r="42" spans="1:56" ht="13.2" customHeight="1" x14ac:dyDescent="0.25">
      <c r="A42" s="34"/>
      <c r="B42" s="12"/>
      <c r="D42" s="161"/>
      <c r="G42" s="166"/>
      <c r="H42" s="166"/>
      <c r="I42" s="167"/>
      <c r="J42" s="12"/>
      <c r="K42" s="12"/>
      <c r="L42" s="12"/>
      <c r="M42" s="12"/>
      <c r="N42" s="33"/>
      <c r="P42" s="162"/>
      <c r="Q42" s="162"/>
      <c r="R42" s="33"/>
      <c r="S42" s="33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3"/>
      <c r="AE42" s="15"/>
      <c r="AF42" s="163"/>
      <c r="AG42" s="15"/>
      <c r="AH42" s="15"/>
      <c r="AI42" s="15"/>
      <c r="AJ42" s="15"/>
      <c r="AK42" s="15"/>
      <c r="AL42" s="15"/>
      <c r="AM42" s="15"/>
      <c r="AN42" s="15"/>
      <c r="AO42" s="15"/>
      <c r="AP42" s="33"/>
      <c r="AQ42" s="168"/>
      <c r="AR42" s="12"/>
      <c r="AS42" s="44"/>
      <c r="AT42" s="44"/>
      <c r="AU42" s="7"/>
      <c r="AV42" s="169"/>
      <c r="AW42" s="1"/>
      <c r="AX42" s="1"/>
      <c r="AY42" s="1"/>
      <c r="AZ42" s="173"/>
      <c r="BA42" s="173"/>
      <c r="BB42" s="173"/>
      <c r="BC42" s="173"/>
    </row>
    <row r="43" spans="1:56" ht="13.2" customHeight="1" x14ac:dyDescent="0.25">
      <c r="A43" s="34"/>
      <c r="B43" s="12"/>
      <c r="D43" s="161"/>
      <c r="G43" s="166"/>
      <c r="H43" s="166"/>
      <c r="I43" s="175"/>
      <c r="J43" s="12"/>
      <c r="K43" s="12"/>
      <c r="L43" s="12"/>
      <c r="M43" s="12"/>
      <c r="N43" s="15"/>
      <c r="P43" s="162"/>
      <c r="Q43" s="162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3"/>
      <c r="AE43" s="15"/>
      <c r="AF43" s="163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2"/>
      <c r="AR43" s="12"/>
      <c r="AS43" s="171"/>
      <c r="AT43" s="171"/>
      <c r="AU43" s="7"/>
      <c r="AV43" s="169"/>
      <c r="AW43" s="1"/>
      <c r="AX43" s="1"/>
      <c r="AY43" s="1"/>
      <c r="AZ43" s="173"/>
      <c r="BA43" s="173"/>
      <c r="BB43" s="173"/>
      <c r="BC43" s="173"/>
    </row>
    <row r="44" spans="1:56" ht="13.2" customHeight="1" x14ac:dyDescent="0.25">
      <c r="A44" s="24"/>
      <c r="B44" s="6"/>
      <c r="C44" s="65"/>
      <c r="D44" s="161"/>
      <c r="E44" s="65"/>
      <c r="F44" s="178"/>
      <c r="G44" s="166"/>
      <c r="H44" s="166"/>
      <c r="I44" s="172"/>
      <c r="J44" s="6"/>
      <c r="K44" s="6"/>
      <c r="L44" s="6"/>
      <c r="M44" s="6"/>
      <c r="N44" s="13"/>
      <c r="O44" s="13"/>
      <c r="P44" s="162"/>
      <c r="Q44" s="162"/>
      <c r="R44" s="13"/>
      <c r="S44" s="13"/>
      <c r="T44" s="7"/>
      <c r="U44" s="7"/>
      <c r="V44" s="176"/>
      <c r="W44" s="176"/>
      <c r="X44" s="37"/>
      <c r="Y44" s="176"/>
      <c r="Z44" s="176"/>
      <c r="AA44" s="176"/>
      <c r="AB44" s="176"/>
      <c r="AC44" s="176"/>
      <c r="AD44" s="163"/>
      <c r="AF44" s="74"/>
      <c r="AG44" s="7"/>
      <c r="AH44" s="7"/>
      <c r="AI44" s="7"/>
      <c r="AJ44" s="7"/>
      <c r="AK44" s="176"/>
      <c r="AL44" s="7"/>
      <c r="AM44" s="176"/>
      <c r="AN44" s="176"/>
      <c r="AO44" s="176"/>
      <c r="AP44" s="176"/>
      <c r="AQ44" s="177"/>
      <c r="AR44" s="6"/>
      <c r="AS44" s="41"/>
      <c r="AT44" s="41"/>
      <c r="AU44" s="7"/>
      <c r="AV44" s="169"/>
      <c r="AW44" s="1"/>
      <c r="AX44" s="1"/>
      <c r="AY44" s="1"/>
      <c r="AZ44" s="173"/>
      <c r="BA44" s="173"/>
      <c r="BB44" s="173"/>
      <c r="BC44" s="173"/>
    </row>
    <row r="45" spans="1:56" ht="13.2" customHeight="1" x14ac:dyDescent="0.25">
      <c r="A45" s="34"/>
      <c r="B45" s="12"/>
      <c r="D45" s="161"/>
      <c r="G45" s="166"/>
      <c r="H45" s="166"/>
      <c r="I45" s="175"/>
      <c r="J45" s="12"/>
      <c r="K45" s="12"/>
      <c r="L45" s="12"/>
      <c r="M45" s="12"/>
      <c r="N45" s="15"/>
      <c r="P45" s="162"/>
      <c r="Q45" s="162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3"/>
      <c r="AE45" s="15"/>
      <c r="AF45" s="163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2"/>
      <c r="AR45" s="11"/>
      <c r="AS45" s="171"/>
      <c r="AT45" s="171"/>
      <c r="AU45" s="7"/>
      <c r="AV45" s="169"/>
      <c r="AW45" s="1"/>
      <c r="AX45" s="1"/>
      <c r="AY45" s="1"/>
      <c r="AZ45" s="173"/>
      <c r="BA45" s="173"/>
      <c r="BB45" s="173"/>
      <c r="BC45" s="173"/>
    </row>
    <row r="46" spans="1:56" ht="13.2" customHeight="1" x14ac:dyDescent="0.25">
      <c r="A46" s="34"/>
      <c r="B46" s="12"/>
      <c r="C46" s="161"/>
      <c r="D46" s="161"/>
      <c r="G46" s="174"/>
      <c r="H46" s="174"/>
      <c r="I46" s="167"/>
      <c r="J46" s="12"/>
      <c r="K46" s="12"/>
      <c r="L46" s="12"/>
      <c r="M46" s="12"/>
      <c r="N46" s="15"/>
      <c r="P46" s="162"/>
      <c r="Q46" s="162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3"/>
      <c r="AE46" s="15"/>
      <c r="AF46" s="163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2"/>
      <c r="AR46" s="12"/>
      <c r="AS46" s="171"/>
      <c r="AT46" s="171"/>
      <c r="AU46" s="7"/>
      <c r="AV46" s="169"/>
      <c r="AW46" s="1"/>
      <c r="AX46" s="1"/>
      <c r="AY46" s="1"/>
      <c r="AZ46" s="173"/>
      <c r="BA46" s="173"/>
      <c r="BB46" s="173"/>
      <c r="BC46" s="173"/>
    </row>
    <row r="47" spans="1:56" ht="13.2" customHeight="1" x14ac:dyDescent="0.25">
      <c r="A47" s="34"/>
      <c r="B47" s="12"/>
      <c r="C47" s="161"/>
      <c r="D47" s="161"/>
      <c r="G47" s="166"/>
      <c r="H47" s="166"/>
      <c r="I47" s="167"/>
      <c r="J47" s="12"/>
      <c r="K47" s="12"/>
      <c r="L47" s="12"/>
      <c r="M47" s="12"/>
      <c r="N47" s="15"/>
      <c r="P47" s="162"/>
      <c r="Q47" s="162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3"/>
      <c r="AE47" s="15"/>
      <c r="AF47" s="164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2"/>
      <c r="AR47" s="12"/>
      <c r="AS47" s="171"/>
      <c r="AT47" s="171"/>
      <c r="AU47" s="7"/>
      <c r="AV47" s="169"/>
      <c r="AW47" s="1"/>
      <c r="AX47" s="1"/>
      <c r="AY47" s="1"/>
      <c r="AZ47" s="173"/>
      <c r="BA47" s="173"/>
      <c r="BB47" s="173"/>
      <c r="BC47" s="173"/>
    </row>
    <row r="48" spans="1:56" ht="13.2" customHeight="1" x14ac:dyDescent="0.25">
      <c r="A48" s="34"/>
      <c r="B48" s="12"/>
      <c r="C48" s="161"/>
      <c r="D48" s="161"/>
      <c r="G48" s="166"/>
      <c r="H48" s="166"/>
      <c r="I48" s="167"/>
      <c r="J48" s="12"/>
      <c r="K48" s="12"/>
      <c r="L48" s="12"/>
      <c r="M48" s="12"/>
      <c r="N48" s="15"/>
      <c r="P48" s="162"/>
      <c r="Q48" s="162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3"/>
      <c r="AE48" s="15"/>
      <c r="AF48" s="164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2"/>
      <c r="AR48" s="12"/>
      <c r="AS48" s="171"/>
      <c r="AT48" s="171"/>
      <c r="AU48" s="7"/>
      <c r="AV48" s="169"/>
      <c r="AW48" s="1"/>
      <c r="AX48" s="1"/>
      <c r="AY48" s="1"/>
      <c r="AZ48" s="173"/>
      <c r="BA48" s="173"/>
      <c r="BB48" s="173"/>
      <c r="BC48" s="173"/>
    </row>
    <row r="49" spans="1:55" ht="13.2" customHeight="1" x14ac:dyDescent="0.25">
      <c r="A49" s="34"/>
      <c r="B49" s="6"/>
      <c r="C49" s="161"/>
      <c r="D49" s="161"/>
      <c r="E49" s="65"/>
      <c r="G49" s="166"/>
      <c r="H49" s="166"/>
      <c r="I49" s="172"/>
      <c r="J49" s="12"/>
      <c r="K49" s="12"/>
      <c r="L49" s="12"/>
      <c r="M49" s="12"/>
      <c r="N49" s="33"/>
      <c r="O49" s="12"/>
      <c r="P49" s="162"/>
      <c r="Q49" s="162"/>
      <c r="R49" s="33"/>
      <c r="S49" s="33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3"/>
      <c r="AE49" s="15"/>
      <c r="AF49" s="163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97"/>
      <c r="AR49" s="12"/>
      <c r="AS49" s="44"/>
      <c r="AT49" s="44"/>
      <c r="AU49" s="7"/>
      <c r="AV49" s="169"/>
      <c r="AW49" s="1"/>
      <c r="AX49" s="1"/>
      <c r="AY49" s="1"/>
      <c r="AZ49" s="173"/>
      <c r="BA49" s="173"/>
      <c r="BB49" s="173"/>
      <c r="BC49" s="173"/>
    </row>
    <row r="50" spans="1:55" ht="13.2" customHeight="1" x14ac:dyDescent="0.25">
      <c r="A50" s="34"/>
      <c r="B50" s="12"/>
      <c r="C50" s="161"/>
      <c r="D50" s="161"/>
      <c r="G50" s="166"/>
      <c r="H50" s="166"/>
      <c r="I50" s="175"/>
      <c r="J50" s="12"/>
      <c r="K50" s="12"/>
      <c r="L50" s="12"/>
      <c r="M50" s="12"/>
      <c r="N50" s="15"/>
      <c r="P50" s="162"/>
      <c r="Q50" s="162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3"/>
      <c r="AE50" s="15"/>
      <c r="AF50" s="163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2"/>
      <c r="AR50" s="12"/>
      <c r="AS50" s="171"/>
      <c r="AT50" s="171"/>
      <c r="AU50" s="7"/>
      <c r="AV50" s="169"/>
      <c r="AW50" s="1"/>
      <c r="AX50" s="1"/>
      <c r="AY50" s="1"/>
      <c r="AZ50" s="173"/>
      <c r="BA50" s="173"/>
      <c r="BB50" s="173"/>
      <c r="BC50" s="173"/>
    </row>
    <row r="51" spans="1:55" ht="13.2" customHeight="1" x14ac:dyDescent="0.25">
      <c r="A51" s="34"/>
      <c r="B51" s="12"/>
      <c r="C51" s="161"/>
      <c r="D51" s="161"/>
      <c r="G51" s="166"/>
      <c r="H51" s="166"/>
      <c r="I51" s="175"/>
      <c r="J51" s="12"/>
      <c r="K51" s="12"/>
      <c r="L51" s="12"/>
      <c r="M51" s="12"/>
      <c r="N51" s="15"/>
      <c r="P51" s="162"/>
      <c r="Q51" s="162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3"/>
      <c r="AE51" s="15"/>
      <c r="AF51" s="163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2"/>
      <c r="AR51" s="12"/>
      <c r="AS51" s="171"/>
      <c r="AT51" s="171"/>
      <c r="AU51" s="7"/>
      <c r="AV51" s="169"/>
      <c r="AW51" s="1"/>
      <c r="AX51" s="1"/>
      <c r="AY51" s="1"/>
      <c r="AZ51" s="173"/>
      <c r="BA51" s="173"/>
      <c r="BB51" s="173"/>
      <c r="BC51" s="173"/>
    </row>
    <row r="52" spans="1:55" ht="13.2" customHeight="1" x14ac:dyDescent="0.25">
      <c r="A52" s="34"/>
      <c r="B52" s="12"/>
      <c r="C52" s="161"/>
      <c r="D52" s="161"/>
      <c r="G52" s="166"/>
      <c r="H52" s="166"/>
      <c r="I52" s="167"/>
      <c r="J52" s="12"/>
      <c r="K52" s="12"/>
      <c r="L52" s="12"/>
      <c r="M52" s="12"/>
      <c r="N52" s="15"/>
      <c r="P52" s="162"/>
      <c r="Q52" s="162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3"/>
      <c r="AE52" s="15"/>
      <c r="AF52" s="163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68"/>
      <c r="AR52" s="12"/>
      <c r="AS52" s="171"/>
      <c r="AT52" s="171"/>
      <c r="AU52" s="7"/>
      <c r="AV52" s="169"/>
      <c r="AW52" s="1"/>
      <c r="AX52" s="1"/>
      <c r="AY52" s="1"/>
      <c r="AZ52" s="173"/>
      <c r="BA52" s="173"/>
      <c r="BB52" s="173"/>
      <c r="BC52" s="173"/>
    </row>
    <row r="53" spans="1:55" ht="13.2" customHeight="1" x14ac:dyDescent="0.25">
      <c r="A53" s="34"/>
      <c r="B53" s="6"/>
      <c r="C53" s="161"/>
      <c r="D53" s="161"/>
      <c r="G53" s="166"/>
      <c r="H53" s="166"/>
      <c r="I53" s="167"/>
      <c r="J53" s="12"/>
      <c r="K53" s="12"/>
      <c r="L53" s="12"/>
      <c r="M53" s="12"/>
      <c r="N53" s="33"/>
      <c r="P53" s="162"/>
      <c r="Q53" s="162"/>
      <c r="R53" s="33"/>
      <c r="S53" s="33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3"/>
      <c r="AE53" s="15"/>
      <c r="AF53" s="163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79"/>
      <c r="AR53" s="179"/>
      <c r="AS53" s="171"/>
      <c r="AT53" s="171"/>
      <c r="AU53" s="7"/>
      <c r="AV53" s="169"/>
      <c r="AW53" s="1"/>
      <c r="AX53" s="1"/>
      <c r="AY53" s="1"/>
      <c r="AZ53" s="173"/>
      <c r="BA53" s="173"/>
      <c r="BB53" s="173"/>
      <c r="BC53" s="173"/>
    </row>
    <row r="54" spans="1:55" ht="13.2" customHeight="1" x14ac:dyDescent="0.25">
      <c r="A54" s="34"/>
      <c r="B54" s="160"/>
      <c r="G54" s="166"/>
      <c r="H54" s="166"/>
      <c r="I54" s="167"/>
      <c r="J54" s="12"/>
      <c r="K54" s="12"/>
      <c r="L54" s="12"/>
      <c r="M54" s="12"/>
      <c r="N54" s="33"/>
      <c r="P54" s="162"/>
      <c r="Q54" s="162"/>
      <c r="R54" s="33"/>
      <c r="S54" s="33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3"/>
      <c r="AE54" s="15"/>
      <c r="AF54" s="163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79"/>
      <c r="AR54" s="179"/>
      <c r="AS54" s="171"/>
      <c r="AT54" s="171"/>
      <c r="AU54" s="7"/>
      <c r="AV54" s="169"/>
      <c r="AW54" s="1"/>
      <c r="AX54" s="1"/>
      <c r="AY54" s="1"/>
      <c r="AZ54" s="173"/>
      <c r="BA54" s="173"/>
      <c r="BB54" s="173"/>
      <c r="BC54" s="173"/>
    </row>
    <row r="55" spans="1:55" ht="13.2" customHeight="1" x14ac:dyDescent="0.25">
      <c r="A55" s="34"/>
      <c r="B55" s="12"/>
      <c r="C55" s="161"/>
      <c r="D55" s="161"/>
      <c r="G55" s="166"/>
      <c r="H55" s="166"/>
      <c r="I55" s="172"/>
      <c r="J55" s="12"/>
      <c r="K55" s="12"/>
      <c r="L55" s="12"/>
      <c r="M55" s="12"/>
      <c r="N55" s="33"/>
      <c r="O55" s="12"/>
      <c r="P55" s="162"/>
      <c r="Q55" s="162"/>
      <c r="R55" s="33"/>
      <c r="S55" s="33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3"/>
      <c r="AE55" s="15"/>
      <c r="AF55" s="163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68"/>
      <c r="AR55" s="12"/>
      <c r="AS55" s="41"/>
      <c r="AT55" s="44"/>
      <c r="AU55" s="7"/>
      <c r="AV55" s="169"/>
      <c r="AW55" s="1"/>
      <c r="AX55" s="1"/>
      <c r="AY55" s="1"/>
      <c r="AZ55" s="173"/>
      <c r="BA55" s="173"/>
      <c r="BB55" s="173"/>
      <c r="BC55" s="173"/>
    </row>
    <row r="56" spans="1:55" ht="13.2" customHeight="1" x14ac:dyDescent="0.25">
      <c r="A56" s="34"/>
      <c r="B56" s="12"/>
      <c r="C56" s="161"/>
      <c r="D56" s="161"/>
      <c r="G56" s="174"/>
      <c r="H56" s="174"/>
      <c r="I56" s="167"/>
      <c r="J56" s="12"/>
      <c r="K56" s="12"/>
      <c r="L56" s="12"/>
      <c r="M56" s="12"/>
      <c r="N56" s="15"/>
      <c r="O56" s="15"/>
      <c r="P56" s="163"/>
      <c r="Q56" s="163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3"/>
      <c r="AE56" s="15"/>
      <c r="AF56" s="163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2"/>
      <c r="AR56" s="12"/>
      <c r="AS56" s="171"/>
      <c r="AT56" s="171"/>
      <c r="AU56" s="7"/>
      <c r="AV56" s="169"/>
      <c r="AW56" s="1"/>
      <c r="AX56" s="1"/>
      <c r="AY56" s="1"/>
      <c r="AZ56" s="173"/>
      <c r="BA56" s="173"/>
      <c r="BB56" s="173"/>
      <c r="BC56" s="173"/>
    </row>
    <row r="57" spans="1:55" ht="13.2" customHeight="1" x14ac:dyDescent="0.25">
      <c r="A57" s="34"/>
      <c r="B57" s="12"/>
      <c r="C57" s="161"/>
      <c r="D57" s="161"/>
      <c r="F57" s="161"/>
      <c r="G57" s="166"/>
      <c r="H57" s="166"/>
      <c r="I57" s="167"/>
      <c r="J57" s="12"/>
      <c r="K57" s="12"/>
      <c r="L57" s="12"/>
      <c r="M57" s="12"/>
      <c r="N57" s="15"/>
      <c r="P57" s="162"/>
      <c r="Q57" s="162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3"/>
      <c r="AE57" s="15"/>
      <c r="AF57" s="164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2"/>
      <c r="AR57" s="12"/>
      <c r="AS57" s="171"/>
      <c r="AT57" s="171"/>
      <c r="AU57" s="7"/>
      <c r="AV57" s="169"/>
      <c r="AW57" s="1"/>
      <c r="AX57" s="1"/>
      <c r="AY57" s="1"/>
      <c r="AZ57" s="173"/>
      <c r="BA57" s="173"/>
      <c r="BB57" s="173"/>
      <c r="BC57" s="173"/>
    </row>
    <row r="58" spans="1:55" ht="13.2" customHeight="1" x14ac:dyDescent="0.25">
      <c r="A58" s="34"/>
      <c r="B58" s="12"/>
      <c r="C58" s="161"/>
      <c r="D58" s="161"/>
      <c r="F58" s="161"/>
      <c r="G58" s="166"/>
      <c r="H58" s="166"/>
      <c r="I58" s="167"/>
      <c r="J58" s="12"/>
      <c r="K58" s="12"/>
      <c r="L58" s="12"/>
      <c r="M58" s="12"/>
      <c r="N58" s="15"/>
      <c r="P58" s="162"/>
      <c r="Q58" s="162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3"/>
      <c r="AE58" s="15"/>
      <c r="AF58" s="164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2"/>
      <c r="AR58" s="12"/>
      <c r="AS58" s="171"/>
      <c r="AT58" s="171"/>
      <c r="AU58" s="7"/>
      <c r="AV58" s="169"/>
      <c r="AW58" s="1"/>
      <c r="AX58" s="1"/>
      <c r="AY58" s="1"/>
      <c r="AZ58" s="173"/>
      <c r="BA58" s="173"/>
      <c r="BB58" s="173"/>
      <c r="BC58" s="173"/>
    </row>
    <row r="59" spans="1:55" ht="13.2" customHeight="1" x14ac:dyDescent="0.25">
      <c r="A59" s="34"/>
      <c r="B59" s="12"/>
      <c r="D59" s="161"/>
      <c r="F59" s="161"/>
      <c r="G59" s="174"/>
      <c r="H59" s="174"/>
      <c r="I59" s="167"/>
      <c r="J59" s="12"/>
      <c r="K59" s="12"/>
      <c r="L59" s="12"/>
      <c r="M59" s="12"/>
      <c r="N59" s="15"/>
      <c r="P59" s="34"/>
      <c r="Q59" s="34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3"/>
      <c r="AE59" s="15"/>
      <c r="AF59" s="163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68"/>
      <c r="AR59" s="179"/>
      <c r="AS59" s="171"/>
      <c r="AT59" s="171"/>
      <c r="AU59" s="7"/>
      <c r="AV59" s="169"/>
      <c r="AW59" s="1"/>
      <c r="AX59" s="1"/>
      <c r="AY59" s="1"/>
      <c r="AZ59" s="173"/>
      <c r="BA59" s="173"/>
      <c r="BB59" s="173"/>
      <c r="BC59" s="173"/>
    </row>
  </sheetData>
  <sheetProtection selectLockedCells="1" selectUnlockedCells="1"/>
  <conditionalFormatting sqref="I13:I33">
    <cfRule type="duplicateValues" dxfId="3" priority="77"/>
  </conditionalFormatting>
  <conditionalFormatting sqref="I13:I33">
    <cfRule type="duplicateValues" dxfId="2" priority="79"/>
    <cfRule type="duplicateValues" dxfId="1" priority="80"/>
  </conditionalFormatting>
  <conditionalFormatting sqref="I13:I33">
    <cfRule type="duplicateValues" dxfId="0" priority="83"/>
  </conditionalFormatting>
  <pageMargins left="0.23622047244094491" right="0.23622047244094491" top="0.23622047244094491" bottom="0.23622047244094491" header="0.23622047244094491" footer="0.23622047244094491"/>
  <pageSetup paperSize="5" scale="75" firstPageNumber="0" fitToHeight="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OVER 75DAYS</vt:lpstr>
      <vt:lpstr>OVER 60DAYS</vt:lpstr>
      <vt:lpstr>'OVER 60DAYS'!Print_Area</vt:lpstr>
      <vt:lpstr>'OVER 75DAYS'!Print_Area</vt:lpstr>
      <vt:lpstr>'OVER 60DAYS'!Print_Titles</vt:lpstr>
      <vt:lpstr>'OVER 75DAYS'!Print_Titles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Maurine Piguerra</dc:creator>
  <cp:lastModifiedBy>Roseann Paez</cp:lastModifiedBy>
  <cp:lastPrinted>2026-05-13T01:54:14Z</cp:lastPrinted>
  <dcterms:created xsi:type="dcterms:W3CDTF">2025-12-23T05:51:54Z</dcterms:created>
  <dcterms:modified xsi:type="dcterms:W3CDTF">2026-09-15T08:34:42Z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480222</vt:lpwstr>
  </property>
  <property fmtid="{D5CDD505-2E9C-101B-9397-08002B2CF9AE}" pid="3" name="NXPowerLiteSettings">
    <vt:lpwstr>E7000400038000</vt:lpwstr>
  </property>
  <property fmtid="{D5CDD505-2E9C-101B-9397-08002B2CF9AE}" pid="4" name="NXPowerLiteVersion">
    <vt:lpwstr>S11.0.1</vt:lpwstr>
  </property>
</Properties>
</file>