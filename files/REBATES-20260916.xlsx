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im/Downloads/3rd MIMOM - September 2026/"/>
    </mc:Choice>
  </mc:AlternateContent>
  <xr:revisionPtr revIDLastSave="0" documentId="13_ncr:1_{0CAB412A-A98A-2D4B-BF1E-802CE21455DF}" xr6:coauthVersionLast="47" xr6:coauthVersionMax="47" xr10:uidLastSave="{00000000-0000-0000-0000-000000000000}"/>
  <bookViews>
    <workbookView xWindow="0" yWindow="760" windowWidth="19440" windowHeight="13480" tabRatio="844" activeTab="3" xr2:uid="{00000000-000D-0000-FFFF-FFFF00000000}"/>
  </bookViews>
  <sheets>
    <sheet name="Rebates Distis &amp; Dealers" sheetId="1" r:id="rId1"/>
    <sheet name="Rebate Principals" sheetId="4" r:id="rId2"/>
    <sheet name="Mktg. Coop Fund" sheetId="5" r:id="rId3"/>
    <sheet name="Pending" sheetId="6" r:id="rId4"/>
  </sheets>
  <definedNames>
    <definedName name="_xlnm.Print_Titles" localSheetId="1">'Rebate Principals'!$A:$B,'Rebate Principals'!$5:$8</definedName>
    <definedName name="_xlnm.Print_Titles" localSheetId="0">'Rebates Distis &amp; Dealers'!$A:$B,'Rebates Distis &amp; Dealers'!$6:$9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B11" i="6"/>
  <c r="C19" i="6" l="1"/>
  <c r="X35" i="4" l="1"/>
  <c r="X5" i="4" s="1"/>
  <c r="U11" i="4" l="1"/>
  <c r="U5" i="4" s="1"/>
  <c r="E6" i="5"/>
  <c r="E5" i="5" l="1"/>
  <c r="E9" i="5" s="1"/>
  <c r="C5" i="4" l="1"/>
  <c r="E19" i="5" l="1"/>
  <c r="P6" i="1" l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O6" i="1"/>
  <c r="N6" i="1"/>
  <c r="M6" i="1"/>
  <c r="L6" i="1"/>
  <c r="K6" i="1"/>
  <c r="J6" i="1"/>
  <c r="I6" i="1"/>
  <c r="H6" i="1"/>
  <c r="G6" i="1"/>
  <c r="F6" i="1"/>
  <c r="E6" i="1"/>
  <c r="D6" i="1"/>
  <c r="C6" i="1"/>
  <c r="V4" i="1" l="1"/>
  <c r="J4" i="1"/>
  <c r="AE4" i="1"/>
  <c r="AH4" i="1"/>
  <c r="AK4" i="1"/>
  <c r="G4" i="1"/>
  <c r="Y4" i="1"/>
  <c r="S4" i="1"/>
  <c r="AB4" i="1"/>
  <c r="D4" i="1"/>
  <c r="D3" i="1" s="1"/>
  <c r="M4" i="1"/>
  <c r="P4" i="1"/>
  <c r="G3" i="1" l="1"/>
  <c r="J3" i="1" s="1"/>
  <c r="M3" i="1" s="1"/>
  <c r="P3" i="1" s="1"/>
  <c r="S3" i="1" s="1"/>
  <c r="V3" i="1" s="1"/>
  <c r="Y3" i="1" s="1"/>
  <c r="AB3" i="1" s="1"/>
  <c r="AE3" i="1" s="1"/>
  <c r="AH3" i="1" s="1"/>
  <c r="AK3" i="1" s="1"/>
  <c r="C26" i="6" l="1"/>
  <c r="C22" i="6" l="1"/>
  <c r="L5" i="4"/>
  <c r="AJ5" i="4"/>
  <c r="AG5" i="4"/>
  <c r="C23" i="6" l="1"/>
  <c r="AD5" i="4" l="1"/>
  <c r="AA5" i="4" l="1"/>
  <c r="R5" i="4" l="1"/>
  <c r="P5" i="4"/>
  <c r="O5" i="4" l="1"/>
  <c r="AH5" i="4" l="1"/>
  <c r="AL5" i="4" l="1"/>
  <c r="AK4" i="4" s="1"/>
  <c r="AK5" i="4"/>
  <c r="AI5" i="4"/>
  <c r="AH4" i="4" s="1"/>
  <c r="AF5" i="4"/>
  <c r="AE4" i="4" s="1"/>
  <c r="AE5" i="4"/>
  <c r="AC5" i="4"/>
  <c r="AB5" i="4"/>
  <c r="Z5" i="4"/>
  <c r="Y5" i="4"/>
  <c r="W5" i="4"/>
  <c r="V4" i="4" s="1"/>
  <c r="V5" i="4"/>
  <c r="T5" i="4"/>
  <c r="S5" i="4"/>
  <c r="Q5" i="4"/>
  <c r="P4" i="4" s="1"/>
  <c r="N5" i="4"/>
  <c r="M4" i="4" s="1"/>
  <c r="M5" i="4"/>
  <c r="K5" i="4"/>
  <c r="J5" i="4"/>
  <c r="I5" i="4"/>
  <c r="H5" i="4"/>
  <c r="G5" i="4"/>
  <c r="F5" i="4"/>
  <c r="E5" i="4"/>
  <c r="D4" i="4" s="1"/>
  <c r="D5" i="4"/>
  <c r="G4" i="4" l="1"/>
  <c r="J4" i="4"/>
  <c r="S4" i="4"/>
  <c r="AB4" i="4"/>
  <c r="D3" i="4"/>
  <c r="Y4" i="4"/>
  <c r="G3" i="4" l="1"/>
  <c r="J3" i="4" l="1"/>
  <c r="M3" i="4" s="1"/>
  <c r="P3" i="4" s="1"/>
  <c r="S3" i="4" s="1"/>
  <c r="V3" i="4" s="1"/>
  <c r="Y3" i="4" s="1"/>
  <c r="AB3" i="4" l="1"/>
  <c r="AE3" i="4" l="1"/>
  <c r="AH3" i="4" s="1"/>
  <c r="AK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S24" authorId="0" shapeId="0" xr:uid="{8EA0DA3B-02DA-0342-B43D-64DD6FE12CB4}">
      <text>
        <r>
          <rPr>
            <b/>
            <sz val="10"/>
            <color rgb="FF000000"/>
            <rFont val="Tahoma"/>
            <family val="2"/>
          </rPr>
          <t xml:space="preserve">VST-ECS/ACER REBATE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CN #:	22503          
</t>
        </r>
        <r>
          <rPr>
            <sz val="10"/>
            <color rgb="FF000000"/>
            <rFont val="Tahoma"/>
            <family val="2"/>
          </rPr>
          <t xml:space="preserve">AMT:	9,411.96
</t>
        </r>
        <r>
          <rPr>
            <sz val="10"/>
            <color rgb="FF000000"/>
            <rFont val="Tahoma"/>
            <family val="2"/>
          </rPr>
          <t xml:space="preserve">DATE RCV:	05/01/26 
</t>
        </r>
        <r>
          <rPr>
            <sz val="10"/>
            <color rgb="FF000000"/>
            <rFont val="Tahoma"/>
            <family val="2"/>
          </rPr>
          <t xml:space="preserve">REF CV:	30157 
</t>
        </r>
        <r>
          <rPr>
            <sz val="10"/>
            <color rgb="FF000000"/>
            <rFont val="Tahoma"/>
            <family val="2"/>
          </rPr>
          <t xml:space="preserve">CHK #:	BDO-905457 
</t>
        </r>
      </text>
    </comment>
    <comment ref="L30" authorId="0" shapeId="0" xr:uid="{2F5A992C-F6BB-1D48-94C0-31C16D528EE8}">
      <text>
        <r>
          <rPr>
            <b/>
            <sz val="10"/>
            <color rgb="FF000000"/>
            <rFont val="Tahoma"/>
            <family val="2"/>
          </rPr>
          <t xml:space="preserve">COMLAN Sales Program Q3-Q4, 2025 (Company Rebate)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Duration of Program July 1 - December 31, 2025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Amount: 5000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credited : March 24, 2026</t>
        </r>
      </text>
    </comment>
    <comment ref="O30" authorId="0" shapeId="0" xr:uid="{4667B372-AAAB-774E-A61F-7C6916FE0FFB}">
      <text>
        <r>
          <rPr>
            <b/>
            <sz val="10"/>
            <color rgb="FF000000"/>
            <rFont val="Tahoma"/>
            <family val="2"/>
          </rPr>
          <t xml:space="preserve">Sales Program Q3-Q4, 2025 (Comlan Incorporated)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Duration of Program: July 1 - December 31, 2025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Amount: 10,000.00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credited : April 08, 2026</t>
        </r>
      </text>
    </comment>
    <comment ref="S35" authorId="0" shapeId="0" xr:uid="{827F5E6E-298A-A04D-9A09-DC9F379599B2}">
      <text>
        <r>
          <rPr>
            <b/>
            <sz val="10"/>
            <color rgb="FF000000"/>
            <rFont val="Arial"/>
            <family val="2"/>
          </rPr>
          <t>BRIDGE / ACER</t>
        </r>
        <r>
          <rPr>
            <b/>
            <sz val="10"/>
            <color rgb="FF000000"/>
            <rFont val="Arial"/>
            <family val="2"/>
          </rPr>
          <t xml:space="preserve"> REBATE
</t>
        </r>
        <r>
          <rPr>
            <sz val="10"/>
            <color rgb="FF000000"/>
            <rFont val="Arial"/>
            <family val="2"/>
          </rPr>
          <t xml:space="preserve">CN #:	     </t>
        </r>
        <r>
          <rPr>
            <sz val="10"/>
            <color rgb="FF000000"/>
            <rFont val="Arial"/>
            <family val="2"/>
          </rPr>
          <t>37789</t>
        </r>
        <r>
          <rPr>
            <sz val="10"/>
            <color rgb="FF000000"/>
            <rFont val="Arial"/>
            <family val="2"/>
          </rPr>
          <t xml:space="preserve"> 
</t>
        </r>
        <r>
          <rPr>
            <sz val="10"/>
            <color rgb="FF000000"/>
            <rFont val="Arial"/>
            <family val="2"/>
          </rPr>
          <t xml:space="preserve">AMT:	     220,159.60
</t>
        </r>
        <r>
          <rPr>
            <sz val="10"/>
            <color rgb="FF000000"/>
            <rFont val="Arial"/>
            <family val="2"/>
          </rPr>
          <t xml:space="preserve">DATE DEDUCT: </t>
        </r>
        <r>
          <rPr>
            <sz val="10"/>
            <color rgb="FF000000"/>
            <rFont val="Arial"/>
            <family val="2"/>
          </rPr>
          <t xml:space="preserve">   </t>
        </r>
        <r>
          <rPr>
            <sz val="10"/>
            <color rgb="FF000000"/>
            <rFont val="Arial"/>
            <family val="2"/>
          </rPr>
          <t>05/29/26</t>
        </r>
        <r>
          <rPr>
            <sz val="10"/>
            <color rgb="FF000000"/>
            <rFont val="Arial"/>
            <family val="2"/>
          </rPr>
          <t xml:space="preserve"> 
</t>
        </r>
        <r>
          <rPr>
            <sz val="10"/>
            <color rgb="FF000000"/>
            <rFont val="Arial"/>
            <family val="2"/>
          </rPr>
          <t>REF CV:</t>
        </r>
        <r>
          <rPr>
            <sz val="10"/>
            <color rgb="FF000000"/>
            <rFont val="Arial"/>
            <family val="2"/>
          </rPr>
          <t xml:space="preserve"> 	     </t>
        </r>
        <r>
          <rPr>
            <sz val="10"/>
            <color rgb="FF000000"/>
            <rFont val="Arial"/>
            <family val="2"/>
          </rPr>
          <t>30285</t>
        </r>
        <r>
          <rPr>
            <sz val="10"/>
            <color rgb="FF000000"/>
            <rFont val="Arial"/>
            <family val="2"/>
          </rPr>
          <t xml:space="preserve"> 
</t>
        </r>
        <r>
          <rPr>
            <sz val="10"/>
            <color rgb="FF000000"/>
            <rFont val="Arial"/>
            <family val="2"/>
          </rPr>
          <t xml:space="preserve">CHK #:	</t>
        </r>
        <r>
          <rPr>
            <sz val="10"/>
            <color rgb="FF000000"/>
            <rFont val="Arial"/>
            <family val="2"/>
          </rPr>
          <t xml:space="preserve">     </t>
        </r>
        <r>
          <rPr>
            <sz val="10"/>
            <color rgb="FF000000"/>
            <rFont val="Arial"/>
            <family val="2"/>
          </rPr>
          <t>BDO-919285</t>
        </r>
        <r>
          <rPr>
            <sz val="10"/>
            <color rgb="FF000000"/>
            <rFont val="Arial"/>
            <family val="2"/>
          </rPr>
          <t xml:space="preserve"> 
</t>
        </r>
      </text>
    </comment>
    <comment ref="P48" authorId="0" shapeId="0" xr:uid="{B1F04220-3CB9-0344-8CB3-EA8598FB3BA1}">
      <text>
        <r>
          <rPr>
            <b/>
            <sz val="10"/>
            <color rgb="FF000000"/>
            <rFont val="Tahoma"/>
            <family val="2"/>
          </rPr>
          <t xml:space="preserve">TECHTRON/ACER REBATE
</t>
        </r>
        <r>
          <rPr>
            <b/>
            <sz val="10"/>
            <color rgb="FF000000"/>
            <rFont val="Tahoma"/>
            <family val="2"/>
          </rPr>
          <t xml:space="preserve"> 
</t>
        </r>
        <r>
          <rPr>
            <sz val="10"/>
            <color rgb="FF000000"/>
            <rFont val="Tahoma"/>
            <family val="2"/>
          </rPr>
          <t xml:space="preserve">CN#: 	20787       
</t>
        </r>
        <r>
          <rPr>
            <sz val="10"/>
            <color rgb="FF000000"/>
            <rFont val="Tahoma"/>
            <family val="2"/>
          </rPr>
          <t xml:space="preserve">AMT:	31,553.46 
</t>
        </r>
        <r>
          <rPr>
            <sz val="10"/>
            <color rgb="FF000000"/>
            <rFont val="Tahoma"/>
            <family val="2"/>
          </rPr>
          <t xml:space="preserve">DATE RCV: 	04/29/26 
</t>
        </r>
        <r>
          <rPr>
            <sz val="10"/>
            <color rgb="FF000000"/>
            <rFont val="Tahoma"/>
            <family val="2"/>
          </rPr>
          <t xml:space="preserve">REF CV:	30100 
</t>
        </r>
        <r>
          <rPr>
            <sz val="10"/>
            <color rgb="FF000000"/>
            <rFont val="Tahoma"/>
            <family val="2"/>
          </rPr>
          <t xml:space="preserve">CHK #:	BDO-905400 </t>
        </r>
      </text>
    </comment>
    <comment ref="S62" authorId="0" shapeId="0" xr:uid="{A55DE514-2D66-7843-93CA-B6C10BEF8B57}">
      <text>
        <r>
          <rPr>
            <b/>
            <sz val="10"/>
            <color rgb="FF000000"/>
            <rFont val="Tahoma"/>
            <family val="34"/>
          </rPr>
          <t xml:space="preserve">PHILTEQ/ACER REBATE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CN #:	10008170               
</t>
        </r>
        <r>
          <rPr>
            <sz val="10"/>
            <color rgb="FF000000"/>
            <rFont val="Tahoma"/>
            <family val="34"/>
          </rPr>
          <t xml:space="preserve">AMT: 	235.04 
</t>
        </r>
        <r>
          <rPr>
            <sz val="10"/>
            <color rgb="FF000000"/>
            <rFont val="Tahoma"/>
            <family val="34"/>
          </rPr>
          <t xml:space="preserve">DATE RCV:	05/29/26 
</t>
        </r>
        <r>
          <rPr>
            <sz val="10"/>
            <color rgb="FF000000"/>
            <rFont val="Tahoma"/>
            <family val="34"/>
          </rPr>
          <t xml:space="preserve">REF CV: 	30286 
</t>
        </r>
        <r>
          <rPr>
            <sz val="10"/>
            <color rgb="FF000000"/>
            <rFont val="Tahoma"/>
            <family val="34"/>
          </rPr>
          <t xml:space="preserve">CHK #:	BDO-919286 
</t>
        </r>
      </text>
    </comment>
    <comment ref="U65" authorId="0" shapeId="0" xr:uid="{72EECC5D-7A52-3E43-9C23-905249967FD6}">
      <text>
        <r>
          <rPr>
            <b/>
            <sz val="9"/>
            <color rgb="FF000000"/>
            <rFont val="Tahoma"/>
            <family val="34"/>
          </rPr>
          <t xml:space="preserve">TWIRELESS/ACER REBATE
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 xml:space="preserve">CN #:	               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 xml:space="preserve">AMT: 	616.63 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 xml:space="preserve">DATE RCV:	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 xml:space="preserve">REF CV: 	 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 xml:space="preserve">CHK #:
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 xml:space="preserve">*Paid by PM for the meantime </t>
        </r>
        <r>
          <rPr>
            <sz val="9"/>
            <color rgb="FF000000"/>
            <rFont val="Tahoma"/>
            <family val="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L11" authorId="0" shapeId="0" xr:uid="{0C217EAF-E259-434A-B1FF-6197381F5EAE}">
      <text>
        <r>
          <rPr>
            <b/>
            <sz val="10"/>
            <color rgb="FF000000"/>
            <rFont val="Calibri"/>
            <family val="34"/>
          </rPr>
          <t xml:space="preserve">HP Q1 (NOV-DEC-JAN) 2026 REBATE 
</t>
        </r>
        <r>
          <rPr>
            <b/>
            <sz val="10"/>
            <color rgb="FF000000"/>
            <rFont val="Calibri"/>
            <family val="34"/>
          </rPr>
          <t xml:space="preserve">
</t>
        </r>
        <r>
          <rPr>
            <b/>
            <sz val="10"/>
            <color rgb="FF000000"/>
            <rFont val="Calibri"/>
            <family val="34"/>
          </rPr>
          <t xml:space="preserve">PHP 51,348.42
</t>
        </r>
        <r>
          <rPr>
            <b/>
            <sz val="10"/>
            <color rgb="FF000000"/>
            <rFont val="Calibri"/>
            <family val="34"/>
          </rPr>
          <t>Collected March 11, 2026</t>
        </r>
      </text>
    </comment>
    <comment ref="U11" authorId="0" shapeId="0" xr:uid="{10D4AAD5-36AC-134A-99F7-E2312CA3D467}">
      <text>
        <r>
          <rPr>
            <b/>
            <sz val="10"/>
            <color rgb="FF000000"/>
            <rFont val="Tahoma"/>
            <family val="2"/>
          </rPr>
          <t xml:space="preserve">HP Q2 (FEB-MAR-APR) 2026 REBATE 	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₱115,268.00 	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Collected June 05, 2026 with CR #0031636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HP OPS Q22026 REBATE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PHP 1,008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Collected 6/10/2026 with </t>
        </r>
        <r>
          <rPr>
            <sz val="10"/>
            <color rgb="FF000000"/>
            <rFont val="Arial"/>
            <family val="2"/>
          </rPr>
          <t xml:space="preserve">CR#0031670 </t>
        </r>
      </text>
    </comment>
    <comment ref="AD11" authorId="0" shapeId="0" xr:uid="{A8BBE19E-17BF-8C43-82B2-4FFA27AC141D}">
      <text>
        <r>
          <rPr>
            <b/>
            <sz val="10"/>
            <color rgb="FF000000"/>
            <rFont val="Tahoma"/>
            <family val="2"/>
          </rPr>
          <t xml:space="preserve">HP Q3 (MAY-JUNE-JULY) 2026 REBATE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₱  40,723.89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With Sales Invoice # 0059990 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For collection9/11/2026                                                                                                       </t>
        </r>
      </text>
    </comment>
    <comment ref="C19" authorId="0" shapeId="0" xr:uid="{7E13D7E3-30E1-D94B-A2D8-4D3EC4E65FCC}">
      <text>
        <r>
          <rPr>
            <b/>
            <sz val="10"/>
            <color rgb="FF000000"/>
            <rFont val="Calibri"/>
            <family val="34"/>
          </rPr>
          <t xml:space="preserve">LENOVO LPE PROGRAM ISG Q1 FY2526 (JUL-SEPT)      
</t>
        </r>
        <r>
          <rPr>
            <b/>
            <sz val="10"/>
            <color rgb="FF000000"/>
            <rFont val="Calibri"/>
            <family val="34"/>
          </rPr>
          <t xml:space="preserve">₱           17,281.06 
</t>
        </r>
        <r>
          <rPr>
            <b/>
            <sz val="10"/>
            <color rgb="FF000000"/>
            <rFont val="Calibri"/>
            <family val="34"/>
          </rPr>
          <t xml:space="preserve">
</t>
        </r>
        <r>
          <rPr>
            <b/>
            <sz val="10"/>
            <color rgb="FF000000"/>
            <rFont val="Calibri"/>
            <family val="34"/>
          </rPr>
          <t>Credited Dec 29, 2025</t>
        </r>
      </text>
    </comment>
    <comment ref="L19" authorId="0" shapeId="0" xr:uid="{45D7010B-0327-A840-9ADA-863C88879842}">
      <text>
        <r>
          <rPr>
            <b/>
            <sz val="10"/>
            <color rgb="FF000000"/>
            <rFont val="Calibri"/>
            <family val="34"/>
          </rPr>
          <t xml:space="preserve">LENOVO FY2526 Q3 PH SMB (OCT- DEC) 
</t>
        </r>
        <r>
          <rPr>
            <sz val="10"/>
            <color rgb="FF000000"/>
            <rFont val="Calibri"/>
            <family val="34"/>
          </rPr>
          <t xml:space="preserve">$ 4,740.24 
</t>
        </r>
        <r>
          <rPr>
            <sz val="10"/>
            <color rgb="FF000000"/>
            <rFont val="Calibri"/>
            <family val="34"/>
          </rPr>
          <t xml:space="preserve">
</t>
        </r>
        <r>
          <rPr>
            <sz val="10"/>
            <color rgb="FF000000"/>
            <rFont val="Calibri"/>
            <family val="34"/>
          </rPr>
          <t>Already Credited (3/2/2026) - Php 273,417.04</t>
        </r>
      </text>
    </comment>
    <comment ref="O19" authorId="0" shapeId="0" xr:uid="{D72741A2-CE53-9044-9475-303C5BC786EF}">
      <text>
        <r>
          <rPr>
            <b/>
            <sz val="10"/>
            <color rgb="FF000000"/>
            <rFont val="Tahoma"/>
            <family val="2"/>
          </rPr>
          <t xml:space="preserve">LENOVO LPE  PROGRAM ISG Q3 FY2526 (OCT- DEC) 
</t>
        </r>
        <r>
          <rPr>
            <sz val="10"/>
            <color rgb="FF000000"/>
            <rFont val="Tahoma"/>
            <family val="2"/>
          </rPr>
          <t xml:space="preserve">PHP 7,810.90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Already Credited 04/24/2026</t>
        </r>
      </text>
    </comment>
    <comment ref="U19" authorId="0" shapeId="0" xr:uid="{75263143-3827-924C-A619-CFAB61F493A8}">
      <text>
        <r>
          <rPr>
            <b/>
            <sz val="10"/>
            <color rgb="FF000000"/>
            <rFont val="Tahoma"/>
            <family val="34"/>
          </rPr>
          <t xml:space="preserve">LENOVO LPE PROGRAM PCSD Q4 FY2526 (JAN - MAR) 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$ 1,727.91 = Php 106,301.02 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>Already Credited 6/5/2026</t>
        </r>
      </text>
    </comment>
    <comment ref="AA19" authorId="0" shapeId="0" xr:uid="{B20DDCDE-D16E-4F42-9D4B-C188D9F7556C}">
      <text>
        <r>
          <rPr>
            <b/>
            <sz val="10"/>
            <color rgb="FF000000"/>
            <rFont val="Tahoma"/>
            <family val="2"/>
          </rPr>
          <t xml:space="preserve">Lenovo ISG Rebate for Q1,FY2627  T2R Platinum, - (APR- JUN)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Php 61,715.01
</t>
        </r>
        <r>
          <rPr>
            <sz val="10"/>
            <color rgb="FF000000"/>
            <rFont val="Tahoma"/>
            <family val="2"/>
          </rPr>
          <t>Already credited 8/24/2026</t>
        </r>
      </text>
    </comment>
    <comment ref="R23" authorId="0" shapeId="0" xr:uid="{B2275328-DCA3-FE4B-B867-C010B869E556}">
      <text>
        <r>
          <rPr>
            <b/>
            <sz val="10"/>
            <color rgb="FF000000"/>
            <rFont val="Tahoma"/>
            <family val="2"/>
          </rPr>
          <t xml:space="preserve">MICROSOFT  COMMERCE INCENTIVE (FEB-MAR-APR)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$  785.88 = PHP  48,284.47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Conversion rate used 61.44
</t>
        </r>
        <r>
          <rPr>
            <sz val="10"/>
            <color rgb="FF000000"/>
            <rFont val="Tahoma"/>
            <family val="2"/>
          </rPr>
          <t xml:space="preserve">Credited May 14, 2026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X23" authorId="0" shapeId="0" xr:uid="{3A87B1D9-7A50-6F4F-96B9-2DEEE51297C9}">
      <text>
        <r>
          <rPr>
            <b/>
            <sz val="10"/>
            <color rgb="FF000000"/>
            <rFont val="Tahoma"/>
            <family val="2"/>
          </rPr>
          <t xml:space="preserve">Microsoft Commerce Incentive Program (May 2026)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USD 1,176 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Landed Amt: Php 72,434.26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Credited July 14, 2026</t>
        </r>
      </text>
    </comment>
    <comment ref="AA23" authorId="0" shapeId="0" xr:uid="{2B222E45-7E1B-B04A-8867-552767181AF7}">
      <text>
        <r>
          <rPr>
            <b/>
            <sz val="10"/>
            <color rgb="FF000000"/>
            <rFont val="Tahoma"/>
            <family val="2"/>
          </rPr>
          <t xml:space="preserve">MICROSOFT COMMERCE INCENTIVE- for the month of June 
</t>
        </r>
        <r>
          <rPr>
            <sz val="10"/>
            <color rgb="FF000000"/>
            <rFont val="Tahoma"/>
            <family val="2"/>
          </rPr>
          <t xml:space="preserve">Amount: $272.09 
</t>
        </r>
        <r>
          <rPr>
            <sz val="10"/>
            <color rgb="FF000000"/>
            <rFont val="Tahoma"/>
            <family val="2"/>
          </rPr>
          <t xml:space="preserve">Landed Amt: Php 16,662.79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Credited to bank: August 14, 2026
</t>
        </r>
        <r>
          <rPr>
            <sz val="10"/>
            <color rgb="FF000000"/>
            <rFont val="Tahoma"/>
            <family val="2"/>
          </rPr>
          <t>Conversion Php 61.24</t>
        </r>
      </text>
    </comment>
    <comment ref="C27" authorId="0" shapeId="0" xr:uid="{F1BD9534-4560-9042-88CE-126880CA1BAF}">
      <text>
        <r>
          <rPr>
            <b/>
            <sz val="11"/>
            <color rgb="FF000000"/>
            <rFont val="Calibri"/>
            <family val="34"/>
          </rPr>
          <t xml:space="preserve"> DELL FY26|Q3 REBATE (2025/08/02 -2025/10/31) 
</t>
        </r>
        <r>
          <rPr>
            <b/>
            <sz val="11"/>
            <color rgb="FF000000"/>
            <rFont val="Calibri"/>
            <family val="34"/>
          </rPr>
          <t xml:space="preserve">$        6,266.14 
</t>
        </r>
        <r>
          <rPr>
            <b/>
            <sz val="11"/>
            <color rgb="FF000000"/>
            <rFont val="Calibri"/>
            <family val="34"/>
          </rPr>
          <t xml:space="preserve">Amount in Peso PHP 354,371.12
</t>
        </r>
        <r>
          <rPr>
            <sz val="11"/>
            <color rgb="FF000000"/>
            <rFont val="Calibri"/>
            <family val="34"/>
          </rPr>
          <t xml:space="preserve">
</t>
        </r>
        <r>
          <rPr>
            <sz val="11"/>
            <color rgb="FF000000"/>
            <rFont val="Calibri"/>
            <family val="34"/>
          </rPr>
          <t>Credited</t>
        </r>
        <r>
          <rPr>
            <sz val="11"/>
            <color rgb="FF000000"/>
            <rFont val="Calibri"/>
            <family val="34"/>
          </rPr>
          <t xml:space="preserve"> last </t>
        </r>
        <r>
          <rPr>
            <sz val="11"/>
            <color rgb="FF000000"/>
            <rFont val="Calibri"/>
            <family val="34"/>
          </rPr>
          <t xml:space="preserve">December 18, 2025 </t>
        </r>
      </text>
    </comment>
    <comment ref="L27" authorId="0" shapeId="0" xr:uid="{C136457D-F5F3-A046-A03C-FB8D30F00051}">
      <text>
        <r>
          <rPr>
            <b/>
            <sz val="10"/>
            <color rgb="FF000000"/>
            <rFont val="Tahoma"/>
            <family val="2"/>
          </rPr>
          <t xml:space="preserve">DELL FY26|Q4 (2025/11/01 - 026/01/30) REBATE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$10,832.76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Credited march 26, 2026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Php 621,433.89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Payment number: 1864</t>
        </r>
      </text>
    </comment>
    <comment ref="U27" authorId="0" shapeId="0" xr:uid="{5EA1CC4E-1CFF-6642-80DF-EC13E7A5DEDB}">
      <text>
        <r>
          <rPr>
            <b/>
            <sz val="11"/>
            <color rgb="FF000000"/>
            <rFont val="Tahoma"/>
            <family val="34"/>
          </rPr>
          <t xml:space="preserve">DELL  REBATE FY27 Q1 (2026/01/31 - 2026/05/01)
</t>
        </r>
        <r>
          <rPr>
            <sz val="11"/>
            <color rgb="FF000000"/>
            <rFont val="Tahoma"/>
            <family val="34"/>
          </rPr>
          <t xml:space="preserve">
</t>
        </r>
        <r>
          <rPr>
            <sz val="11"/>
            <color rgb="FF000000"/>
            <rFont val="Tahoma"/>
            <family val="34"/>
          </rPr>
          <t xml:space="preserve">$ 7182.94
</t>
        </r>
        <r>
          <rPr>
            <sz val="11"/>
            <color rgb="FF000000"/>
            <rFont val="Tahoma"/>
            <family val="34"/>
          </rPr>
          <t xml:space="preserve">Credited Amount: PHP 420,274.38
</t>
        </r>
        <r>
          <rPr>
            <sz val="11"/>
            <color rgb="FF000000"/>
            <rFont val="Tahoma"/>
            <family val="34"/>
          </rPr>
          <t xml:space="preserve">
</t>
        </r>
        <r>
          <rPr>
            <sz val="11"/>
            <color rgb="FF000000"/>
            <rFont val="Tahoma"/>
            <family val="34"/>
          </rPr>
          <t>Date credited: June 18, 2026</t>
        </r>
      </text>
    </comment>
    <comment ref="X35" authorId="0" shapeId="0" xr:uid="{9B79EC91-8E6B-634B-877E-B7168280D522}">
      <text>
        <r>
          <rPr>
            <b/>
            <sz val="10"/>
            <color rgb="FF000000"/>
            <rFont val="Tahoma"/>
            <family val="2"/>
          </rPr>
          <t xml:space="preserve">Cisco Partner Incentive Q3 FY2026 Networking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DURATION: February 2026 – April 2026 (Fiscal Year Cisco)
</t>
        </r>
        <r>
          <rPr>
            <sz val="10"/>
            <color rgb="FF000000"/>
            <rFont val="Tahoma"/>
            <family val="2"/>
          </rPr>
          <t xml:space="preserve">AMOUNT IN DOLLAR (if applicable) : $ 1,003.00
</t>
        </r>
        <r>
          <rPr>
            <sz val="10"/>
            <color rgb="FF000000"/>
            <rFont val="Tahoma"/>
            <family val="2"/>
          </rPr>
          <t xml:space="preserve">LANDED AMOUNT IN PESO – P 60,199.10
</t>
        </r>
        <r>
          <rPr>
            <sz val="10"/>
            <color rgb="FF000000"/>
            <rFont val="Tahoma"/>
            <family val="2"/>
          </rPr>
          <t xml:space="preserve">DATE CREDITED: July 22, 2026.
</t>
        </r>
      </text>
    </comment>
  </commentList>
</comments>
</file>

<file path=xl/sharedStrings.xml><?xml version="1.0" encoding="utf-8"?>
<sst xmlns="http://schemas.openxmlformats.org/spreadsheetml/2006/main" count="292" uniqueCount="139">
  <si>
    <t>MICRO IMAGE INTERNATIONAL CORPORATION</t>
  </si>
  <si>
    <t>SUPPLIER'S INCENTIVES/REBATES:</t>
  </si>
  <si>
    <t>Distributors &amp; Dealers</t>
  </si>
  <si>
    <t>DOLLAR</t>
  </si>
  <si>
    <t>PESO</t>
  </si>
  <si>
    <t>Dollar Rate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</si>
  <si>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</si>
  <si>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</si>
  <si>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</si>
  <si>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</si>
  <si>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</si>
  <si>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</si>
  <si>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</si>
  <si>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</si>
  <si>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</si>
  <si>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</si>
  <si>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</si>
  <si>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</si>
  <si>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PRINCIPAL</t>
  </si>
  <si>
    <t>PRODUCT</t>
  </si>
  <si>
    <t>REBATE  AND INCENTIVE</t>
  </si>
  <si>
    <t>CASH</t>
  </si>
  <si>
    <t>CM</t>
  </si>
  <si>
    <t>KIND</t>
  </si>
  <si>
    <t>WORDTEXT</t>
  </si>
  <si>
    <t>Product 1</t>
  </si>
  <si>
    <t>Others</t>
  </si>
  <si>
    <t>LAMCO</t>
  </si>
  <si>
    <t>OTHERS</t>
  </si>
  <si>
    <t>Principals &amp; Manufacturers</t>
  </si>
  <si>
    <t>PC / SERVER</t>
  </si>
  <si>
    <t>PRINTER / PLOTTER</t>
  </si>
  <si>
    <t>IBM</t>
  </si>
  <si>
    <t>SERVER</t>
  </si>
  <si>
    <t>WORKSTATION</t>
  </si>
  <si>
    <t>DESKTOP</t>
  </si>
  <si>
    <t>NOTEBOOK</t>
  </si>
  <si>
    <t>MICROSOFT</t>
  </si>
  <si>
    <t>FG</t>
  </si>
  <si>
    <t>OEM</t>
  </si>
  <si>
    <t>SAMSUNG</t>
  </si>
  <si>
    <t>AUTODESK</t>
  </si>
  <si>
    <t>CANON</t>
  </si>
  <si>
    <t>HP Products</t>
  </si>
  <si>
    <t>MS Products</t>
  </si>
  <si>
    <t>MS Product</t>
  </si>
  <si>
    <t>CISCO</t>
  </si>
  <si>
    <t>FUJI XEROX</t>
  </si>
  <si>
    <t>ADOBE</t>
  </si>
  <si>
    <t>MPHASE</t>
  </si>
  <si>
    <t>Dlink Products</t>
  </si>
  <si>
    <t>BRIDGE</t>
  </si>
  <si>
    <t xml:space="preserve">Symantec </t>
  </si>
  <si>
    <t>LENOVO</t>
  </si>
  <si>
    <t>APC</t>
  </si>
  <si>
    <t xml:space="preserve">FORFEITED GC </t>
  </si>
  <si>
    <t>MILLENIUM</t>
  </si>
  <si>
    <t>NETPLAY</t>
  </si>
  <si>
    <t>Cyberoam Products</t>
  </si>
  <si>
    <t>TOTAL</t>
  </si>
  <si>
    <t>TOUCHSTREAM</t>
  </si>
  <si>
    <t>Autodesk</t>
  </si>
  <si>
    <t>ACER</t>
  </si>
  <si>
    <t>CYBEROAM</t>
  </si>
  <si>
    <t>DELL PHILIPPINES</t>
  </si>
  <si>
    <t>IONTECH</t>
  </si>
  <si>
    <t>EPSON</t>
  </si>
  <si>
    <t>PARTICULAR</t>
  </si>
  <si>
    <t>ACTIVITY</t>
  </si>
  <si>
    <t>AMOUNT</t>
  </si>
  <si>
    <t>REMARKS</t>
  </si>
  <si>
    <t>TECHTRON</t>
  </si>
  <si>
    <t xml:space="preserve">Dell </t>
  </si>
  <si>
    <t>TECHNOPAQ</t>
  </si>
  <si>
    <t>Dell</t>
  </si>
  <si>
    <t>PRINCIPAL NAME</t>
  </si>
  <si>
    <t>DATE</t>
  </si>
  <si>
    <t>FIRST HALF</t>
  </si>
  <si>
    <t>SECOND HALF</t>
  </si>
  <si>
    <t>TECHNOSERVE</t>
  </si>
  <si>
    <t>ARDENT</t>
  </si>
  <si>
    <t>VERTIV</t>
  </si>
  <si>
    <t>DELL BUDGET BREAKDOWN</t>
  </si>
  <si>
    <t>Click to unhide rows</t>
  </si>
  <si>
    <t>Disti</t>
  </si>
  <si>
    <t>Principal</t>
  </si>
  <si>
    <t>Pending PESO</t>
  </si>
  <si>
    <t xml:space="preserve">Annual Target </t>
  </si>
  <si>
    <t>PHILSOURCE</t>
  </si>
  <si>
    <t>VST ECS</t>
  </si>
  <si>
    <t>ASUS</t>
  </si>
  <si>
    <t xml:space="preserve">Semi-Annual Target </t>
  </si>
  <si>
    <t>Hit Rate</t>
  </si>
  <si>
    <t>SUMMIT APP REBATE</t>
  </si>
  <si>
    <t>TRAILBLAZER SOLUTIONS INC.</t>
  </si>
  <si>
    <t>Pending Dollar (Conversion 00)</t>
  </si>
  <si>
    <t>MARKETING COOP FUND 2026</t>
  </si>
  <si>
    <t>PENDING 2026</t>
  </si>
  <si>
    <t>DELL</t>
  </si>
  <si>
    <t>HP INC</t>
  </si>
  <si>
    <t>LAPTOP/DESKTOP</t>
  </si>
  <si>
    <t>SERVER/STORAGE</t>
  </si>
  <si>
    <t>ALL PRODUCTS</t>
  </si>
  <si>
    <t>JANUARY 14, 2026</t>
  </si>
  <si>
    <t>UNLOCKING THE POWER OF DELL STORAGE</t>
  </si>
  <si>
    <t>TECHNOLOGY UPDATE/BLOCK SCREENING</t>
  </si>
  <si>
    <t>Actual attendees 33 pax and 20 companies</t>
  </si>
  <si>
    <t>PHILTEQ</t>
  </si>
  <si>
    <t>COMLAN</t>
  </si>
  <si>
    <t>OTHER PRODUCTS</t>
  </si>
  <si>
    <t>JABRA</t>
  </si>
  <si>
    <t>LENOVO PARTNER ENGAGE (LPE) PROGRAM - Q1 FY2627 - APR TO JUN</t>
  </si>
  <si>
    <t>SOFT SKILLS TRAINING FOR SALES</t>
  </si>
  <si>
    <t>Budget was allocated for MI Management Break</t>
  </si>
  <si>
    <t>JUNE 2026</t>
  </si>
  <si>
    <t>-</t>
  </si>
  <si>
    <t>HP (VST ECS)</t>
  </si>
  <si>
    <t>TECHNOLOGY UPDATE</t>
  </si>
  <si>
    <t>JUNE 9, 2026</t>
  </si>
  <si>
    <t>THE POWER OF WORKFORCE</t>
  </si>
  <si>
    <t>Acer</t>
  </si>
  <si>
    <t>TWIRELESS</t>
  </si>
  <si>
    <t>ACER REBATE 1H FY2026 (JAN TO JUN)</t>
  </si>
  <si>
    <t>DELL FY27 | Q2 (2026/05/02 - 2026/07/31)</t>
  </si>
  <si>
    <t>Actual attendees 43 pax and 25 companies</t>
  </si>
  <si>
    <t>LENOVO PARTNER ENGAGE (LPE) PROGRAM - Q2 FY2627 - JULY TO SEPT</t>
  </si>
  <si>
    <t xml:space="preserve">HP Q4 (AUG-SEPT-OCT) 2026 REBATE </t>
  </si>
  <si>
    <t>TECHRON</t>
  </si>
  <si>
    <t xml:space="preserve">VST-ECS </t>
  </si>
  <si>
    <t>Estimated as of September 9, 2026</t>
  </si>
  <si>
    <t>On process as of September 14, 2026</t>
  </si>
  <si>
    <t>09/14: Payment on process. Waiting to be credited to MIIC</t>
  </si>
  <si>
    <t>Estimated as of September 10, 2026</t>
  </si>
  <si>
    <t>Estimated as of September 14, 2026</t>
  </si>
  <si>
    <t>SEPT 10, 2026</t>
  </si>
  <si>
    <t>MODERNIZE EVERYWHERE: DELL AI PCS, POWEREDGE SERVERS, AND MANAGED SERVICES</t>
  </si>
  <si>
    <t>Actual attendees 42 pax and 29 companies</t>
  </si>
  <si>
    <t>CISCO PARTNER INCENTIVE Q4 2026 NETWORKING REBATE</t>
  </si>
  <si>
    <t>To be deposited on or before October 11,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</si>
</sst>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₱&quot;#,##0.00_);[Red]\(&quot;₱&quot;#,##0.00\)"/>
    <numFmt numFmtId="44" formatCode="_(&quot;₱&quot;* #,##0.00_);_(&quot;₱&quot;* \(#,##0.00\);_(&quot;₱&quot;* &quot;-&quot;??_);_(@_)"/>
    <numFmt numFmtId="43" formatCode="_(* #,##0.00_);_(* \(#,##0.00\);_(* &quot;-&quot;??_);_(@_)"/>
    <numFmt numFmtId="164" formatCode="_-&quot;₱&quot;* #,##0.00_-;\-&quot;₱&quot;* #,##0.00_-;_-&quot;₱&quot;* &quot;-&quot;??_-;_-@_-"/>
    <numFmt numFmtId="165" formatCode="_-* #,##0.00_-;\-* #,##0.00_-;_-* &quot;-&quot;??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* #,##0_);_(* \(#,##0\);_(* &quot;-&quot;??_);_(@_)"/>
    <numFmt numFmtId="169" formatCode="#,##0.00\ ;&quot; (&quot;#,##0.00\);&quot; -&quot;#\ ;@\ "/>
    <numFmt numFmtId="170" formatCode="[$-409]mmmm\-yy;@"/>
    <numFmt numFmtId="171" formatCode="_([$$-409]* #,##0.00_);_([$$-409]* \(#,##0.00\);_([$$-409]* &quot;-&quot;??_);_(@_)"/>
    <numFmt numFmtId="172" formatCode="&quot;₱&quot;#,##0.00"/>
    <numFmt numFmtId="173" formatCode="_-[$₱-3409]* #,##0.00_-;\-[$₱-3409]* #,##0.00_-;_-[$₱-3409]* &quot;-&quot;??_-;_-@_-"/>
  </numFmts>
  <fonts count="6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Helv"/>
      <family val="2"/>
    </font>
    <font>
      <sz val="10"/>
      <name val="Geneva"/>
      <family val="2"/>
    </font>
    <font>
      <sz val="10"/>
      <name val="Arial 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8"/>
      <color rgb="FFFF000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color rgb="FFFF0000"/>
      <name val="Calibri"/>
      <family val="2"/>
    </font>
    <font>
      <sz val="10"/>
      <name val="Arial"/>
      <family val="2"/>
    </font>
    <font>
      <b/>
      <sz val="8"/>
      <color indexed="12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8"/>
      <color rgb="FF000000"/>
      <name val="Arial"/>
      <family val="2"/>
    </font>
    <font>
      <b/>
      <i/>
      <sz val="8"/>
      <name val="Calibri"/>
      <family val="2"/>
    </font>
    <font>
      <b/>
      <sz val="9"/>
      <color indexed="12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9"/>
      <color indexed="10"/>
      <name val="Arial"/>
      <family val="2"/>
      <charset val="204"/>
    </font>
    <font>
      <sz val="9"/>
      <color indexed="10"/>
      <name val="Arial"/>
      <family val="2"/>
      <charset val="204"/>
    </font>
    <font>
      <b/>
      <sz val="9"/>
      <color indexed="8"/>
      <name val="Arial"/>
      <family val="2"/>
      <charset val="204"/>
    </font>
    <font>
      <b/>
      <sz val="9"/>
      <name val="Arial"/>
      <family val="2"/>
    </font>
    <font>
      <b/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indexed="8"/>
      <name val="Calibri"/>
      <family val="2"/>
    </font>
    <font>
      <b/>
      <sz val="11"/>
      <color rgb="FF000000"/>
      <name val="Calibri"/>
      <family val="34"/>
    </font>
    <font>
      <sz val="11"/>
      <color rgb="FF000000"/>
      <name val="Calibri"/>
      <family val="34"/>
    </font>
    <font>
      <b/>
      <sz val="10"/>
      <color rgb="FF000000"/>
      <name val="Calibri"/>
      <family val="34"/>
    </font>
    <font>
      <sz val="10"/>
      <color rgb="FF000000"/>
      <name val="Calibri"/>
      <family val="34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000000"/>
      <name val="Tahoma"/>
      <family val="34"/>
    </font>
    <font>
      <sz val="10"/>
      <color rgb="FF000000"/>
      <name val="Tahoma"/>
      <family val="34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b/>
      <sz val="11"/>
      <color rgb="FF000000"/>
      <name val="Tahoma"/>
      <family val="34"/>
    </font>
    <font>
      <sz val="11"/>
      <color rgb="FF000000"/>
      <name val="Tahoma"/>
      <family val="34"/>
    </font>
    <font>
      <b/>
      <sz val="9"/>
      <color rgb="FF000000"/>
      <name val="Tahoma"/>
      <family val="34"/>
    </font>
    <font>
      <sz val="9"/>
      <color rgb="FF000000"/>
      <name val="Tahoma"/>
      <family val="34"/>
    </font>
    <font>
      <b/>
      <u val="singleAccounting"/>
      <sz val="9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77">
    <xf numFmtId="0" fontId="0" fillId="0" borderId="0"/>
    <xf numFmtId="170" fontId="22" fillId="0" borderId="0"/>
    <xf numFmtId="170" fontId="22" fillId="0" borderId="0"/>
    <xf numFmtId="170" fontId="23" fillId="0" borderId="0"/>
    <xf numFmtId="170" fontId="23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6" fillId="0" borderId="0" applyFont="0" applyFill="0" applyBorder="0" applyAlignment="0" applyProtection="0"/>
    <xf numFmtId="169" fontId="4" fillId="0" borderId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4" fillId="0" borderId="0" applyFill="0" applyBorder="0" applyAlignment="0" applyProtection="0"/>
    <xf numFmtId="165" fontId="3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170" fontId="24" fillId="0" borderId="0"/>
    <xf numFmtId="0" fontId="26" fillId="0" borderId="0"/>
    <xf numFmtId="170" fontId="5" fillId="0" borderId="0"/>
    <xf numFmtId="0" fontId="4" fillId="0" borderId="0"/>
    <xf numFmtId="170" fontId="25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23" borderId="7" applyNumberFormat="0" applyAlignment="0" applyProtection="0"/>
    <xf numFmtId="0" fontId="4" fillId="23" borderId="7" applyNumberFormat="0" applyAlignment="0" applyProtection="0"/>
    <xf numFmtId="0" fontId="4" fillId="23" borderId="7" applyNumberFormat="0" applyAlignment="0" applyProtection="0"/>
    <xf numFmtId="0" fontId="4" fillId="23" borderId="7" applyNumberFormat="0" applyAlignment="0" applyProtection="0"/>
    <xf numFmtId="0" fontId="4" fillId="23" borderId="7" applyNumberFormat="0" applyAlignment="0" applyProtection="0"/>
    <xf numFmtId="0" fontId="4" fillId="23" borderId="7" applyNumberFormat="0" applyAlignment="0" applyProtection="0"/>
    <xf numFmtId="0" fontId="4" fillId="23" borderId="7" applyNumberFormat="0" applyAlignment="0" applyProtection="0"/>
    <xf numFmtId="0" fontId="4" fillId="23" borderId="7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0" fontId="22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9" fontId="31" fillId="0" borderId="0" applyFont="0" applyFill="0" applyBorder="0" applyAlignment="0" applyProtection="0"/>
  </cellStyleXfs>
  <cellXfs count="197">
    <xf numFmtId="0" fontId="0" fillId="0" borderId="0" xfId="0"/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12" xfId="0" applyFont="1" applyBorder="1" applyAlignment="1">
      <alignment vertical="center" wrapText="1"/>
    </xf>
    <xf numFmtId="0" fontId="32" fillId="0" borderId="0" xfId="0" applyFont="1"/>
    <xf numFmtId="168" fontId="2" fillId="0" borderId="0" xfId="221" applyNumberFormat="1" applyFont="1" applyFill="1"/>
    <xf numFmtId="43" fontId="2" fillId="0" borderId="0" xfId="221" applyFont="1" applyFill="1"/>
    <xf numFmtId="0" fontId="2" fillId="0" borderId="0" xfId="0" applyFont="1"/>
    <xf numFmtId="43" fontId="2" fillId="0" borderId="0" xfId="0" applyNumberFormat="1" applyFont="1"/>
    <xf numFmtId="0" fontId="2" fillId="0" borderId="0" xfId="0" applyFont="1" applyAlignment="1">
      <alignment horizontal="center"/>
    </xf>
    <xf numFmtId="0" fontId="33" fillId="0" borderId="0" xfId="0" applyFont="1"/>
    <xf numFmtId="4" fontId="2" fillId="0" borderId="0" xfId="0" applyNumberFormat="1" applyFont="1"/>
    <xf numFmtId="168" fontId="34" fillId="0" borderId="0" xfId="221" applyNumberFormat="1" applyFont="1" applyFill="1"/>
    <xf numFmtId="43" fontId="34" fillId="0" borderId="0" xfId="221" applyFont="1" applyFill="1"/>
    <xf numFmtId="43" fontId="34" fillId="27" borderId="0" xfId="221" applyFont="1" applyFill="1"/>
    <xf numFmtId="0" fontId="34" fillId="0" borderId="0" xfId="0" applyFont="1"/>
    <xf numFmtId="4" fontId="34" fillId="0" borderId="0" xfId="0" applyNumberFormat="1" applyFont="1"/>
    <xf numFmtId="43" fontId="34" fillId="0" borderId="0" xfId="0" applyNumberFormat="1" applyFont="1"/>
    <xf numFmtId="165" fontId="34" fillId="27" borderId="0" xfId="0" applyNumberFormat="1" applyFont="1" applyFill="1"/>
    <xf numFmtId="165" fontId="34" fillId="0" borderId="0" xfId="0" applyNumberFormat="1" applyFont="1"/>
    <xf numFmtId="9" fontId="34" fillId="0" borderId="0" xfId="376" applyFont="1"/>
    <xf numFmtId="0" fontId="34" fillId="0" borderId="0" xfId="0" applyFont="1" applyAlignment="1">
      <alignment horizontal="center"/>
    </xf>
    <xf numFmtId="168" fontId="32" fillId="0" borderId="0" xfId="221" applyNumberFormat="1" applyFont="1"/>
    <xf numFmtId="43" fontId="32" fillId="0" borderId="0" xfId="221" applyFont="1" applyFill="1"/>
    <xf numFmtId="43" fontId="32" fillId="0" borderId="0" xfId="0" applyNumberFormat="1" applyFont="1"/>
    <xf numFmtId="0" fontId="32" fillId="0" borderId="0" xfId="0" applyFont="1" applyAlignment="1">
      <alignment horizontal="center"/>
    </xf>
    <xf numFmtId="168" fontId="33" fillId="0" borderId="0" xfId="221" applyNumberFormat="1" applyFont="1" applyAlignment="1">
      <alignment horizontal="right"/>
    </xf>
    <xf numFmtId="43" fontId="33" fillId="0" borderId="0" xfId="221" applyFont="1" applyFill="1"/>
    <xf numFmtId="43" fontId="33" fillId="0" borderId="0" xfId="221" applyFont="1" applyFill="1" applyAlignment="1">
      <alignment horizontal="center"/>
    </xf>
    <xf numFmtId="0" fontId="2" fillId="24" borderId="14" xfId="0" applyFont="1" applyFill="1" applyBorder="1"/>
    <xf numFmtId="43" fontId="2" fillId="24" borderId="15" xfId="221" applyFont="1" applyFill="1" applyBorder="1"/>
    <xf numFmtId="0" fontId="34" fillId="25" borderId="13" xfId="0" applyFont="1" applyFill="1" applyBorder="1" applyAlignment="1">
      <alignment horizontal="center"/>
    </xf>
    <xf numFmtId="168" fontId="34" fillId="25" borderId="13" xfId="221" applyNumberFormat="1" applyFont="1" applyFill="1" applyBorder="1" applyAlignment="1">
      <alignment horizontal="center"/>
    </xf>
    <xf numFmtId="0" fontId="2" fillId="25" borderId="11" xfId="0" applyFont="1" applyFill="1" applyBorder="1" applyAlignment="1">
      <alignment horizontal="center"/>
    </xf>
    <xf numFmtId="168" fontId="2" fillId="25" borderId="11" xfId="221" applyNumberFormat="1" applyFont="1" applyFill="1" applyBorder="1" applyAlignment="1">
      <alignment horizontal="center"/>
    </xf>
    <xf numFmtId="43" fontId="2" fillId="25" borderId="12" xfId="221" applyFont="1" applyFill="1" applyBorder="1" applyAlignment="1">
      <alignment horizontal="center"/>
    </xf>
    <xf numFmtId="0" fontId="2" fillId="25" borderId="1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168" fontId="2" fillId="0" borderId="0" xfId="221" applyNumberFormat="1" applyFont="1" applyFill="1" applyBorder="1" applyAlignment="1">
      <alignment horizontal="left"/>
    </xf>
    <xf numFmtId="43" fontId="2" fillId="0" borderId="0" xfId="221" applyFont="1" applyFill="1" applyBorder="1" applyAlignment="1">
      <alignment horizontal="center"/>
    </xf>
    <xf numFmtId="168" fontId="2" fillId="0" borderId="0" xfId="221" applyNumberFormat="1" applyFont="1" applyFill="1" applyAlignment="1"/>
    <xf numFmtId="43" fontId="33" fillId="0" borderId="0" xfId="0" applyNumberFormat="1" applyFont="1"/>
    <xf numFmtId="0" fontId="33" fillId="0" borderId="0" xfId="0" applyFont="1" applyAlignment="1">
      <alignment horizontal="center"/>
    </xf>
    <xf numFmtId="171" fontId="33" fillId="0" borderId="0" xfId="221" applyNumberFormat="1" applyFont="1" applyFill="1"/>
    <xf numFmtId="8" fontId="33" fillId="0" borderId="0" xfId="0" applyNumberFormat="1" applyFont="1"/>
    <xf numFmtId="43" fontId="33" fillId="0" borderId="0" xfId="221" applyFont="1"/>
    <xf numFmtId="172" fontId="33" fillId="0" borderId="0" xfId="0" applyNumberFormat="1" applyFont="1"/>
    <xf numFmtId="168" fontId="2" fillId="24" borderId="0" xfId="221" applyNumberFormat="1" applyFont="1" applyFill="1"/>
    <xf numFmtId="0" fontId="37" fillId="0" borderId="0" xfId="0" applyFont="1"/>
    <xf numFmtId="168" fontId="38" fillId="0" borderId="0" xfId="221" applyNumberFormat="1" applyFont="1" applyFill="1"/>
    <xf numFmtId="43" fontId="38" fillId="0" borderId="0" xfId="221" applyFont="1" applyFill="1"/>
    <xf numFmtId="0" fontId="38" fillId="0" borderId="0" xfId="0" applyFont="1"/>
    <xf numFmtId="43" fontId="39" fillId="0" borderId="0" xfId="221" applyFont="1" applyFill="1"/>
    <xf numFmtId="0" fontId="39" fillId="0" borderId="0" xfId="0" applyFont="1"/>
    <xf numFmtId="43" fontId="40" fillId="0" borderId="0" xfId="221" applyFont="1" applyFill="1"/>
    <xf numFmtId="43" fontId="37" fillId="0" borderId="0" xfId="221" applyFont="1"/>
    <xf numFmtId="43" fontId="37" fillId="0" borderId="0" xfId="221" applyFont="1" applyFill="1"/>
    <xf numFmtId="167" fontId="41" fillId="0" borderId="0" xfId="237" applyFont="1"/>
    <xf numFmtId="167" fontId="40" fillId="0" borderId="0" xfId="237" applyFont="1" applyAlignment="1">
      <alignment horizontal="right"/>
    </xf>
    <xf numFmtId="167" fontId="41" fillId="0" borderId="0" xfId="237" applyFont="1" applyFill="1"/>
    <xf numFmtId="43" fontId="39" fillId="0" borderId="0" xfId="221" applyFont="1"/>
    <xf numFmtId="43" fontId="39" fillId="0" borderId="0" xfId="221" applyFont="1" applyAlignment="1">
      <alignment horizontal="right"/>
    </xf>
    <xf numFmtId="0" fontId="38" fillId="24" borderId="0" xfId="0" applyFont="1" applyFill="1"/>
    <xf numFmtId="43" fontId="38" fillId="24" borderId="0" xfId="221" applyFont="1" applyFill="1"/>
    <xf numFmtId="0" fontId="40" fillId="25" borderId="10" xfId="0" applyFont="1" applyFill="1" applyBorder="1" applyAlignment="1">
      <alignment horizontal="center"/>
    </xf>
    <xf numFmtId="168" fontId="40" fillId="25" borderId="10" xfId="221" applyNumberFormat="1" applyFont="1" applyFill="1" applyBorder="1" applyAlignment="1">
      <alignment horizontal="center"/>
    </xf>
    <xf numFmtId="0" fontId="38" fillId="25" borderId="11" xfId="0" applyFont="1" applyFill="1" applyBorder="1" applyAlignment="1">
      <alignment horizontal="center"/>
    </xf>
    <xf numFmtId="168" fontId="38" fillId="25" borderId="11" xfId="221" applyNumberFormat="1" applyFont="1" applyFill="1" applyBorder="1" applyAlignment="1">
      <alignment horizontal="center"/>
    </xf>
    <xf numFmtId="43" fontId="38" fillId="25" borderId="12" xfId="221" applyFont="1" applyFill="1" applyBorder="1" applyAlignment="1">
      <alignment horizontal="center"/>
    </xf>
    <xf numFmtId="0" fontId="38" fillId="25" borderId="12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168" fontId="38" fillId="0" borderId="0" xfId="221" applyNumberFormat="1" applyFont="1" applyFill="1" applyBorder="1" applyAlignment="1">
      <alignment horizontal="center"/>
    </xf>
    <xf numFmtId="43" fontId="38" fillId="0" borderId="0" xfId="221" applyFont="1" applyFill="1" applyBorder="1" applyAlignment="1">
      <alignment horizontal="center"/>
    </xf>
    <xf numFmtId="0" fontId="42" fillId="0" borderId="0" xfId="0" applyFont="1"/>
    <xf numFmtId="168" fontId="38" fillId="0" borderId="0" xfId="221" applyNumberFormat="1" applyFont="1" applyFill="1" applyAlignment="1"/>
    <xf numFmtId="43" fontId="39" fillId="0" borderId="0" xfId="221" applyFont="1" applyFill="1" applyBorder="1" applyAlignment="1">
      <alignment horizontal="center"/>
    </xf>
    <xf numFmtId="43" fontId="39" fillId="0" borderId="0" xfId="221" applyFont="1" applyFill="1" applyBorder="1" applyAlignment="1">
      <alignment horizontal="right"/>
    </xf>
    <xf numFmtId="168" fontId="39" fillId="0" borderId="0" xfId="221" applyNumberFormat="1" applyFont="1" applyFill="1" applyAlignment="1"/>
    <xf numFmtId="43" fontId="38" fillId="0" borderId="0" xfId="221" applyFont="1" applyFill="1" applyAlignment="1">
      <alignment horizontal="right"/>
    </xf>
    <xf numFmtId="8" fontId="33" fillId="0" borderId="0" xfId="221" applyNumberFormat="1" applyFont="1" applyFill="1"/>
    <xf numFmtId="4" fontId="39" fillId="0" borderId="0" xfId="0" applyNumberFormat="1" applyFont="1"/>
    <xf numFmtId="43" fontId="38" fillId="0" borderId="0" xfId="0" applyNumberFormat="1" applyFont="1"/>
    <xf numFmtId="4" fontId="38" fillId="0" borderId="0" xfId="0" applyNumberFormat="1" applyFont="1"/>
    <xf numFmtId="3" fontId="39" fillId="0" borderId="0" xfId="0" applyNumberFormat="1" applyFont="1"/>
    <xf numFmtId="166" fontId="38" fillId="0" borderId="0" xfId="0" applyNumberFormat="1" applyFont="1" applyAlignment="1">
      <alignment horizontal="right"/>
    </xf>
    <xf numFmtId="166" fontId="39" fillId="0" borderId="0" xfId="0" applyNumberFormat="1" applyFont="1" applyAlignment="1">
      <alignment horizontal="right"/>
    </xf>
    <xf numFmtId="43" fontId="39" fillId="0" borderId="0" xfId="0" applyNumberFormat="1" applyFont="1" applyAlignment="1">
      <alignment horizontal="right"/>
    </xf>
    <xf numFmtId="4" fontId="33" fillId="0" borderId="0" xfId="0" applyNumberFormat="1" applyFont="1"/>
    <xf numFmtId="4" fontId="35" fillId="0" borderId="0" xfId="0" applyNumberFormat="1" applyFont="1"/>
    <xf numFmtId="4" fontId="33" fillId="0" borderId="0" xfId="0" applyNumberFormat="1" applyFont="1" applyAlignment="1">
      <alignment vertical="center"/>
    </xf>
    <xf numFmtId="3" fontId="33" fillId="0" borderId="0" xfId="0" applyNumberFormat="1" applyFont="1"/>
    <xf numFmtId="4" fontId="33" fillId="0" borderId="0" xfId="0" applyNumberFormat="1" applyFont="1" applyAlignment="1">
      <alignment horizontal="right"/>
    </xf>
    <xf numFmtId="168" fontId="33" fillId="0" borderId="0" xfId="221" applyNumberFormat="1" applyFont="1"/>
    <xf numFmtId="4" fontId="43" fillId="0" borderId="0" xfId="0" applyNumberFormat="1" applyFont="1"/>
    <xf numFmtId="0" fontId="30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left" vertical="center"/>
    </xf>
    <xf numFmtId="0" fontId="29" fillId="0" borderId="21" xfId="0" applyFont="1" applyBorder="1" applyAlignment="1">
      <alignment horizontal="center" vertical="center"/>
    </xf>
    <xf numFmtId="0" fontId="29" fillId="0" borderId="20" xfId="0" applyFont="1" applyBorder="1" applyAlignment="1">
      <alignment vertical="center"/>
    </xf>
    <xf numFmtId="0" fontId="30" fillId="0" borderId="20" xfId="0" applyFont="1" applyBorder="1" applyAlignment="1">
      <alignment vertical="center"/>
    </xf>
    <xf numFmtId="0" fontId="30" fillId="0" borderId="20" xfId="0" applyFont="1" applyBorder="1" applyAlignment="1">
      <alignment horizontal="center" vertical="center"/>
    </xf>
    <xf numFmtId="0" fontId="27" fillId="0" borderId="20" xfId="0" applyFont="1" applyBorder="1" applyAlignment="1">
      <alignment vertical="center"/>
    </xf>
    <xf numFmtId="8" fontId="30" fillId="27" borderId="20" xfId="0" applyNumberFormat="1" applyFont="1" applyFill="1" applyBorder="1" applyAlignment="1">
      <alignment vertical="center"/>
    </xf>
    <xf numFmtId="15" fontId="29" fillId="0" borderId="12" xfId="0" quotePrefix="1" applyNumberFormat="1" applyFont="1" applyBorder="1" applyAlignment="1">
      <alignment horizontal="center" vertical="center" wrapText="1"/>
    </xf>
    <xf numFmtId="8" fontId="29" fillId="0" borderId="12" xfId="0" applyNumberFormat="1" applyFont="1" applyBorder="1" applyAlignment="1">
      <alignment vertical="center" wrapText="1"/>
    </xf>
    <xf numFmtId="8" fontId="30" fillId="27" borderId="0" xfId="0" applyNumberFormat="1" applyFont="1" applyFill="1" applyAlignment="1">
      <alignment vertical="center"/>
    </xf>
    <xf numFmtId="8" fontId="29" fillId="0" borderId="0" xfId="0" applyNumberFormat="1" applyFont="1" applyAlignment="1">
      <alignment vertical="center"/>
    </xf>
    <xf numFmtId="0" fontId="29" fillId="28" borderId="0" xfId="0" applyFont="1" applyFill="1" applyAlignment="1">
      <alignment horizontal="center" vertical="center"/>
    </xf>
    <xf numFmtId="0" fontId="28" fillId="28" borderId="0" xfId="0" applyFont="1" applyFill="1" applyAlignment="1">
      <alignment vertical="center"/>
    </xf>
    <xf numFmtId="0" fontId="29" fillId="28" borderId="0" xfId="0" applyFont="1" applyFill="1" applyAlignment="1">
      <alignment vertical="center"/>
    </xf>
    <xf numFmtId="173" fontId="29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43" fontId="2" fillId="0" borderId="0" xfId="221" applyFont="1"/>
    <xf numFmtId="43" fontId="43" fillId="0" borderId="0" xfId="221" applyFont="1"/>
    <xf numFmtId="43" fontId="33" fillId="0" borderId="0" xfId="221" applyFont="1" applyAlignment="1">
      <alignment horizontal="center"/>
    </xf>
    <xf numFmtId="15" fontId="29" fillId="0" borderId="12" xfId="0" quotePrefix="1" applyNumberFormat="1" applyFont="1" applyBorder="1" applyAlignment="1">
      <alignment horizontal="left" vertical="center" wrapText="1"/>
    </xf>
    <xf numFmtId="0" fontId="29" fillId="0" borderId="12" xfId="0" applyFont="1" applyBorder="1" applyAlignment="1">
      <alignment horizontal="center" vertical="center" wrapText="1"/>
    </xf>
    <xf numFmtId="8" fontId="29" fillId="0" borderId="12" xfId="0" applyNumberFormat="1" applyFont="1" applyBorder="1" applyAlignment="1">
      <alignment horizontal="center" vertical="center"/>
    </xf>
    <xf numFmtId="172" fontId="29" fillId="0" borderId="12" xfId="0" applyNumberFormat="1" applyFont="1" applyBorder="1" applyAlignment="1">
      <alignment horizontal="center" vertical="center"/>
    </xf>
    <xf numFmtId="15" fontId="29" fillId="0" borderId="12" xfId="0" quotePrefix="1" applyNumberFormat="1" applyFont="1" applyBorder="1" applyAlignment="1">
      <alignment horizontal="center" vertical="center"/>
    </xf>
    <xf numFmtId="0" fontId="29" fillId="0" borderId="12" xfId="0" quotePrefix="1" applyFont="1" applyBorder="1" applyAlignment="1">
      <alignment horizontal="center" vertical="center"/>
    </xf>
    <xf numFmtId="15" fontId="29" fillId="0" borderId="12" xfId="0" quotePrefix="1" applyNumberFormat="1" applyFont="1" applyBorder="1" applyAlignment="1">
      <alignment horizontal="left" vertical="center"/>
    </xf>
    <xf numFmtId="0" fontId="44" fillId="26" borderId="12" xfId="0" applyFont="1" applyFill="1" applyBorder="1" applyAlignment="1">
      <alignment horizontal="left" vertical="center"/>
    </xf>
    <xf numFmtId="171" fontId="45" fillId="0" borderId="12" xfId="0" applyNumberFormat="1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8" fillId="0" borderId="12" xfId="0" applyFont="1" applyBorder="1" applyAlignment="1">
      <alignment vertical="center" wrapText="1"/>
    </xf>
    <xf numFmtId="0" fontId="47" fillId="0" borderId="12" xfId="0" applyFont="1" applyBorder="1" applyAlignment="1">
      <alignment horizontal="left" vertical="center" wrapText="1"/>
    </xf>
    <xf numFmtId="164" fontId="48" fillId="0" borderId="0" xfId="221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0" fontId="46" fillId="0" borderId="0" xfId="0" applyFont="1" applyAlignment="1">
      <alignment vertical="center" wrapText="1"/>
    </xf>
    <xf numFmtId="171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171" fontId="46" fillId="0" borderId="0" xfId="0" applyNumberFormat="1" applyFont="1" applyAlignment="1">
      <alignment vertical="center" wrapText="1"/>
    </xf>
    <xf numFmtId="43" fontId="46" fillId="0" borderId="0" xfId="221" applyFont="1" applyAlignment="1">
      <alignment horizontal="center" vertical="center"/>
    </xf>
    <xf numFmtId="44" fontId="45" fillId="0" borderId="22" xfId="221" applyNumberFormat="1" applyFont="1" applyBorder="1" applyAlignment="1">
      <alignment horizontal="center" vertical="center"/>
    </xf>
    <xf numFmtId="43" fontId="45" fillId="0" borderId="0" xfId="221" applyFont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9" fontId="46" fillId="0" borderId="0" xfId="376" applyFont="1" applyAlignment="1">
      <alignment horizontal="center" vertical="center"/>
    </xf>
    <xf numFmtId="171" fontId="49" fillId="0" borderId="0" xfId="0" applyNumberFormat="1" applyFont="1" applyAlignment="1">
      <alignment horizontal="center" vertical="center"/>
    </xf>
    <xf numFmtId="43" fontId="46" fillId="0" borderId="0" xfId="0" applyNumberFormat="1" applyFont="1" applyAlignment="1">
      <alignment vertical="center"/>
    </xf>
    <xf numFmtId="0" fontId="29" fillId="0" borderId="20" xfId="0" applyFont="1" applyBorder="1" applyAlignment="1">
      <alignment horizontal="left" vertical="center"/>
    </xf>
    <xf numFmtId="15" fontId="29" fillId="0" borderId="20" xfId="0" quotePrefix="1" applyNumberFormat="1" applyFont="1" applyBorder="1" applyAlignment="1">
      <alignment horizontal="center" vertical="center"/>
    </xf>
    <xf numFmtId="15" fontId="29" fillId="0" borderId="20" xfId="0" quotePrefix="1" applyNumberFormat="1" applyFont="1" applyBorder="1" applyAlignment="1">
      <alignment horizontal="left" vertical="center"/>
    </xf>
    <xf numFmtId="172" fontId="29" fillId="0" borderId="20" xfId="0" applyNumberFormat="1" applyFont="1" applyBorder="1" applyAlignment="1">
      <alignment horizontal="center" vertical="center"/>
    </xf>
    <xf numFmtId="0" fontId="29" fillId="0" borderId="20" xfId="0" applyFont="1" applyBorder="1" applyAlignment="1">
      <alignment vertical="center" wrapText="1"/>
    </xf>
    <xf numFmtId="4" fontId="46" fillId="0" borderId="0" xfId="0" applyNumberFormat="1" applyFont="1" applyAlignment="1">
      <alignment horizontal="left" vertical="center" wrapText="1"/>
    </xf>
    <xf numFmtId="164" fontId="46" fillId="0" borderId="12" xfId="221" applyNumberFormat="1" applyFont="1" applyFill="1" applyBorder="1" applyAlignment="1">
      <alignment horizontal="center" vertical="center"/>
    </xf>
    <xf numFmtId="43" fontId="40" fillId="27" borderId="0" xfId="221" applyFont="1" applyFill="1"/>
    <xf numFmtId="43" fontId="37" fillId="27" borderId="0" xfId="221" applyFont="1" applyFill="1"/>
    <xf numFmtId="43" fontId="39" fillId="27" borderId="0" xfId="221" applyFont="1" applyFill="1"/>
    <xf numFmtId="43" fontId="38" fillId="0" borderId="0" xfId="221" applyFont="1"/>
    <xf numFmtId="0" fontId="46" fillId="0" borderId="12" xfId="0" applyFont="1" applyBorder="1" applyAlignment="1">
      <alignment horizontal="left" vertical="center" wrapText="1"/>
    </xf>
    <xf numFmtId="4" fontId="46" fillId="0" borderId="0" xfId="0" applyNumberFormat="1" applyFont="1" applyAlignment="1">
      <alignment vertical="center"/>
    </xf>
    <xf numFmtId="10" fontId="46" fillId="0" borderId="0" xfId="0" applyNumberFormat="1" applyFont="1" applyAlignment="1">
      <alignment vertical="center"/>
    </xf>
    <xf numFmtId="43" fontId="2" fillId="0" borderId="0" xfId="221" applyFont="1" applyAlignment="1">
      <alignment horizontal="left"/>
    </xf>
    <xf numFmtId="43" fontId="46" fillId="0" borderId="0" xfId="221" applyFont="1" applyBorder="1" applyAlignment="1">
      <alignment horizontal="center" vertical="center" wrapText="1"/>
    </xf>
    <xf numFmtId="43" fontId="46" fillId="0" borderId="0" xfId="221" applyFont="1" applyBorder="1" applyAlignment="1">
      <alignment horizontal="center" vertical="center"/>
    </xf>
    <xf numFmtId="0" fontId="38" fillId="0" borderId="0" xfId="0" applyFont="1" applyAlignment="1">
      <alignment wrapText="1"/>
    </xf>
    <xf numFmtId="0" fontId="43" fillId="0" borderId="0" xfId="0" applyFont="1"/>
    <xf numFmtId="4" fontId="60" fillId="0" borderId="0" xfId="0" applyNumberFormat="1" applyFont="1"/>
    <xf numFmtId="171" fontId="45" fillId="0" borderId="0" xfId="0" applyNumberFormat="1" applyFont="1" applyAlignment="1">
      <alignment vertical="center"/>
    </xf>
    <xf numFmtId="171" fontId="47" fillId="0" borderId="12" xfId="221" applyNumberFormat="1" applyFont="1" applyFill="1" applyBorder="1" applyAlignment="1">
      <alignment vertical="center" wrapText="1"/>
    </xf>
    <xf numFmtId="171" fontId="46" fillId="0" borderId="12" xfId="0" applyNumberFormat="1" applyFont="1" applyBorder="1" applyAlignment="1">
      <alignment horizontal="center" vertical="center"/>
    </xf>
    <xf numFmtId="171" fontId="47" fillId="0" borderId="12" xfId="221" applyNumberFormat="1" applyFont="1" applyFill="1" applyBorder="1" applyAlignment="1">
      <alignment horizontal="left" vertical="center" wrapText="1"/>
    </xf>
    <xf numFmtId="171" fontId="47" fillId="0" borderId="10" xfId="221" applyNumberFormat="1" applyFont="1" applyFill="1" applyBorder="1" applyAlignment="1">
      <alignment vertical="center" wrapText="1"/>
    </xf>
    <xf numFmtId="171" fontId="47" fillId="0" borderId="11" xfId="221" applyNumberFormat="1" applyFont="1" applyFill="1" applyBorder="1" applyAlignment="1">
      <alignment vertical="center" wrapText="1"/>
    </xf>
    <xf numFmtId="171" fontId="46" fillId="0" borderId="11" xfId="0" applyNumberFormat="1" applyFont="1" applyBorder="1" applyAlignment="1">
      <alignment horizontal="center" vertical="center"/>
    </xf>
    <xf numFmtId="171" fontId="47" fillId="29" borderId="23" xfId="221" applyNumberFormat="1" applyFont="1" applyFill="1" applyBorder="1" applyAlignment="1">
      <alignment vertical="center"/>
    </xf>
    <xf numFmtId="171" fontId="47" fillId="29" borderId="24" xfId="221" applyNumberFormat="1" applyFont="1" applyFill="1" applyBorder="1" applyAlignment="1">
      <alignment vertical="center"/>
    </xf>
    <xf numFmtId="171" fontId="46" fillId="29" borderId="25" xfId="0" applyNumberFormat="1" applyFont="1" applyFill="1" applyBorder="1" applyAlignment="1">
      <alignment horizontal="center" vertical="center"/>
    </xf>
    <xf numFmtId="171" fontId="47" fillId="29" borderId="17" xfId="221" applyNumberFormat="1" applyFont="1" applyFill="1" applyBorder="1" applyAlignment="1">
      <alignment vertical="center"/>
    </xf>
    <xf numFmtId="171" fontId="46" fillId="29" borderId="19" xfId="0" applyNumberFormat="1" applyFont="1" applyFill="1" applyBorder="1" applyAlignment="1">
      <alignment horizontal="center" vertical="center"/>
    </xf>
    <xf numFmtId="164" fontId="46" fillId="0" borderId="10" xfId="221" applyNumberFormat="1" applyFont="1" applyFill="1" applyBorder="1" applyAlignment="1">
      <alignment horizontal="center" vertical="center"/>
    </xf>
    <xf numFmtId="0" fontId="46" fillId="0" borderId="10" xfId="0" applyFont="1" applyBorder="1" applyAlignment="1">
      <alignment horizontal="left" vertical="center" wrapText="1"/>
    </xf>
    <xf numFmtId="164" fontId="46" fillId="0" borderId="11" xfId="221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horizontal="left" vertical="center" wrapText="1"/>
    </xf>
    <xf numFmtId="164" fontId="65" fillId="27" borderId="12" xfId="221" applyNumberFormat="1" applyFont="1" applyFill="1" applyBorder="1" applyAlignment="1">
      <alignment horizontal="center" vertical="center"/>
    </xf>
    <xf numFmtId="171" fontId="65" fillId="27" borderId="12" xfId="221" applyNumberFormat="1" applyFont="1" applyFill="1" applyBorder="1" applyAlignment="1">
      <alignment horizontal="center" vertical="center"/>
    </xf>
    <xf numFmtId="0" fontId="39" fillId="24" borderId="14" xfId="0" applyFont="1" applyFill="1" applyBorder="1" applyAlignment="1">
      <alignment horizontal="center"/>
    </xf>
    <xf numFmtId="0" fontId="39" fillId="24" borderId="16" xfId="0" applyFont="1" applyFill="1" applyBorder="1" applyAlignment="1">
      <alignment horizontal="center"/>
    </xf>
    <xf numFmtId="0" fontId="39" fillId="24" borderId="15" xfId="0" applyFont="1" applyFill="1" applyBorder="1" applyAlignment="1">
      <alignment horizontal="center"/>
    </xf>
    <xf numFmtId="0" fontId="40" fillId="25" borderId="17" xfId="0" applyFont="1" applyFill="1" applyBorder="1" applyAlignment="1">
      <alignment horizontal="center"/>
    </xf>
    <xf numFmtId="0" fontId="40" fillId="25" borderId="18" xfId="0" applyFont="1" applyFill="1" applyBorder="1" applyAlignment="1">
      <alignment horizontal="center"/>
    </xf>
    <xf numFmtId="0" fontId="40" fillId="25" borderId="19" xfId="0" applyFont="1" applyFill="1" applyBorder="1" applyAlignment="1">
      <alignment horizontal="center"/>
    </xf>
    <xf numFmtId="0" fontId="34" fillId="25" borderId="11" xfId="0" applyFont="1" applyFill="1" applyBorder="1" applyAlignment="1">
      <alignment horizontal="center"/>
    </xf>
    <xf numFmtId="0" fontId="2" fillId="25" borderId="11" xfId="0" applyFont="1" applyFill="1" applyBorder="1"/>
    <xf numFmtId="0" fontId="33" fillId="24" borderId="14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0" fontId="33" fillId="24" borderId="15" xfId="0" applyFont="1" applyFill="1" applyBorder="1" applyAlignment="1">
      <alignment horizontal="center"/>
    </xf>
    <xf numFmtId="0" fontId="28" fillId="27" borderId="18" xfId="0" applyFont="1" applyFill="1" applyBorder="1" applyAlignment="1">
      <alignment horizontal="center" vertical="center"/>
    </xf>
    <xf numFmtId="0" fontId="46" fillId="0" borderId="12" xfId="0" applyFont="1" applyBorder="1" applyAlignment="1">
      <alignment horizontal="right" vertical="center"/>
    </xf>
    <xf numFmtId="4" fontId="46" fillId="0" borderId="12" xfId="0" applyNumberFormat="1" applyFont="1" applyBorder="1" applyAlignment="1">
      <alignment horizontal="left" vertical="center"/>
    </xf>
  </cellXfs>
  <cellStyles count="377">
    <cellStyle name="_2H07 Indirect Resellers PSG Options targets (3)" xfId="1" xr:uid="{00000000-0005-0000-0000-000000000000}"/>
    <cellStyle name="_PNB Targets- Nov 6nd" xfId="2" xr:uid="{00000000-0005-0000-0000-000001000000}"/>
    <cellStyle name="_PSP 2h09_setupfile" xfId="3" xr:uid="{00000000-0005-0000-0000-000002000000}"/>
    <cellStyle name="_PSP Q2_2009 Set up file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 2" xfId="13" xr:uid="{00000000-0005-0000-0000-00000C000000}"/>
    <cellStyle name="20% - Accent2 3" xfId="14" xr:uid="{00000000-0005-0000-0000-00000D000000}"/>
    <cellStyle name="20% - Accent2 4" xfId="15" xr:uid="{00000000-0005-0000-0000-00000E000000}"/>
    <cellStyle name="20% - Accent2 5" xfId="16" xr:uid="{00000000-0005-0000-0000-00000F000000}"/>
    <cellStyle name="20% - Accent2 6" xfId="17" xr:uid="{00000000-0005-0000-0000-000010000000}"/>
    <cellStyle name="20% - Accent2 7" xfId="18" xr:uid="{00000000-0005-0000-0000-000011000000}"/>
    <cellStyle name="20% - Accent2 8" xfId="19" xr:uid="{00000000-0005-0000-0000-000012000000}"/>
    <cellStyle name="20% - Accent2 9" xfId="20" xr:uid="{00000000-0005-0000-0000-000013000000}"/>
    <cellStyle name="20% - Accent3 2" xfId="21" xr:uid="{00000000-0005-0000-0000-000014000000}"/>
    <cellStyle name="20% - Accent3 3" xfId="22" xr:uid="{00000000-0005-0000-0000-000015000000}"/>
    <cellStyle name="20% - Accent3 4" xfId="23" xr:uid="{00000000-0005-0000-0000-000016000000}"/>
    <cellStyle name="20% - Accent3 5" xfId="24" xr:uid="{00000000-0005-0000-0000-000017000000}"/>
    <cellStyle name="20% - Accent3 6" xfId="25" xr:uid="{00000000-0005-0000-0000-000018000000}"/>
    <cellStyle name="20% - Accent3 7" xfId="26" xr:uid="{00000000-0005-0000-0000-000019000000}"/>
    <cellStyle name="20% - Accent3 8" xfId="27" xr:uid="{00000000-0005-0000-0000-00001A000000}"/>
    <cellStyle name="20% - Accent3 9" xfId="28" xr:uid="{00000000-0005-0000-0000-00001B000000}"/>
    <cellStyle name="20% - Accent4 2" xfId="29" xr:uid="{00000000-0005-0000-0000-00001C000000}"/>
    <cellStyle name="20% - Accent4 3" xfId="30" xr:uid="{00000000-0005-0000-0000-00001D000000}"/>
    <cellStyle name="20% - Accent4 4" xfId="31" xr:uid="{00000000-0005-0000-0000-00001E000000}"/>
    <cellStyle name="20% - Accent4 5" xfId="32" xr:uid="{00000000-0005-0000-0000-00001F000000}"/>
    <cellStyle name="20% - Accent4 6" xfId="33" xr:uid="{00000000-0005-0000-0000-000020000000}"/>
    <cellStyle name="20% - Accent4 7" xfId="34" xr:uid="{00000000-0005-0000-0000-000021000000}"/>
    <cellStyle name="20% - Accent4 8" xfId="35" xr:uid="{00000000-0005-0000-0000-000022000000}"/>
    <cellStyle name="20% - Accent4 9" xfId="36" xr:uid="{00000000-0005-0000-0000-000023000000}"/>
    <cellStyle name="20% - Accent5 2" xfId="37" xr:uid="{00000000-0005-0000-0000-000024000000}"/>
    <cellStyle name="20% - Accent5 3" xfId="38" xr:uid="{00000000-0005-0000-0000-000025000000}"/>
    <cellStyle name="20% - Accent5 4" xfId="39" xr:uid="{00000000-0005-0000-0000-000026000000}"/>
    <cellStyle name="20% - Accent5 5" xfId="40" xr:uid="{00000000-0005-0000-0000-000027000000}"/>
    <cellStyle name="20% - Accent5 6" xfId="41" xr:uid="{00000000-0005-0000-0000-000028000000}"/>
    <cellStyle name="20% - Accent5 7" xfId="42" xr:uid="{00000000-0005-0000-0000-000029000000}"/>
    <cellStyle name="20% - Accent5 8" xfId="43" xr:uid="{00000000-0005-0000-0000-00002A000000}"/>
    <cellStyle name="20% - Accent5 9" xfId="44" xr:uid="{00000000-0005-0000-0000-00002B000000}"/>
    <cellStyle name="20% - Accent6 2" xfId="45" xr:uid="{00000000-0005-0000-0000-00002C000000}"/>
    <cellStyle name="20% - Accent6 3" xfId="46" xr:uid="{00000000-0005-0000-0000-00002D000000}"/>
    <cellStyle name="20% - Accent6 4" xfId="47" xr:uid="{00000000-0005-0000-0000-00002E000000}"/>
    <cellStyle name="20% - Accent6 5" xfId="48" xr:uid="{00000000-0005-0000-0000-00002F000000}"/>
    <cellStyle name="20% - Accent6 6" xfId="49" xr:uid="{00000000-0005-0000-0000-000030000000}"/>
    <cellStyle name="20% - Accent6 7" xfId="50" xr:uid="{00000000-0005-0000-0000-000031000000}"/>
    <cellStyle name="20% - Accent6 8" xfId="51" xr:uid="{00000000-0005-0000-0000-000032000000}"/>
    <cellStyle name="20% - Accent6 9" xfId="52" xr:uid="{00000000-0005-0000-0000-000033000000}"/>
    <cellStyle name="40% - Accent1 2" xfId="53" xr:uid="{00000000-0005-0000-0000-000034000000}"/>
    <cellStyle name="40% - Accent1 3" xfId="54" xr:uid="{00000000-0005-0000-0000-000035000000}"/>
    <cellStyle name="40% - Accent1 4" xfId="55" xr:uid="{00000000-0005-0000-0000-000036000000}"/>
    <cellStyle name="40% - Accent1 5" xfId="56" xr:uid="{00000000-0005-0000-0000-000037000000}"/>
    <cellStyle name="40% - Accent1 6" xfId="57" xr:uid="{00000000-0005-0000-0000-000038000000}"/>
    <cellStyle name="40% - Accent1 7" xfId="58" xr:uid="{00000000-0005-0000-0000-000039000000}"/>
    <cellStyle name="40% - Accent1 8" xfId="59" xr:uid="{00000000-0005-0000-0000-00003A000000}"/>
    <cellStyle name="40% - Accent1 9" xfId="60" xr:uid="{00000000-0005-0000-0000-00003B000000}"/>
    <cellStyle name="40% - Accent2 2" xfId="61" xr:uid="{00000000-0005-0000-0000-00003C000000}"/>
    <cellStyle name="40% - Accent2 3" xfId="62" xr:uid="{00000000-0005-0000-0000-00003D000000}"/>
    <cellStyle name="40% - Accent2 4" xfId="63" xr:uid="{00000000-0005-0000-0000-00003E000000}"/>
    <cellStyle name="40% - Accent2 5" xfId="64" xr:uid="{00000000-0005-0000-0000-00003F000000}"/>
    <cellStyle name="40% - Accent2 6" xfId="65" xr:uid="{00000000-0005-0000-0000-000040000000}"/>
    <cellStyle name="40% - Accent2 7" xfId="66" xr:uid="{00000000-0005-0000-0000-000041000000}"/>
    <cellStyle name="40% - Accent2 8" xfId="67" xr:uid="{00000000-0005-0000-0000-000042000000}"/>
    <cellStyle name="40% - Accent2 9" xfId="68" xr:uid="{00000000-0005-0000-0000-000043000000}"/>
    <cellStyle name="40% - Accent3 2" xfId="69" xr:uid="{00000000-0005-0000-0000-000044000000}"/>
    <cellStyle name="40% - Accent3 3" xfId="70" xr:uid="{00000000-0005-0000-0000-000045000000}"/>
    <cellStyle name="40% - Accent3 4" xfId="71" xr:uid="{00000000-0005-0000-0000-000046000000}"/>
    <cellStyle name="40% - Accent3 5" xfId="72" xr:uid="{00000000-0005-0000-0000-000047000000}"/>
    <cellStyle name="40% - Accent3 6" xfId="73" xr:uid="{00000000-0005-0000-0000-000048000000}"/>
    <cellStyle name="40% - Accent3 7" xfId="74" xr:uid="{00000000-0005-0000-0000-000049000000}"/>
    <cellStyle name="40% - Accent3 8" xfId="75" xr:uid="{00000000-0005-0000-0000-00004A000000}"/>
    <cellStyle name="40% - Accent3 9" xfId="76" xr:uid="{00000000-0005-0000-0000-00004B000000}"/>
    <cellStyle name="40% - Accent4 2" xfId="77" xr:uid="{00000000-0005-0000-0000-00004C000000}"/>
    <cellStyle name="40% - Accent4 3" xfId="78" xr:uid="{00000000-0005-0000-0000-00004D000000}"/>
    <cellStyle name="40% - Accent4 4" xfId="79" xr:uid="{00000000-0005-0000-0000-00004E000000}"/>
    <cellStyle name="40% - Accent4 5" xfId="80" xr:uid="{00000000-0005-0000-0000-00004F000000}"/>
    <cellStyle name="40% - Accent4 6" xfId="81" xr:uid="{00000000-0005-0000-0000-000050000000}"/>
    <cellStyle name="40% - Accent4 7" xfId="82" xr:uid="{00000000-0005-0000-0000-000051000000}"/>
    <cellStyle name="40% - Accent4 8" xfId="83" xr:uid="{00000000-0005-0000-0000-000052000000}"/>
    <cellStyle name="40% - Accent4 9" xfId="84" xr:uid="{00000000-0005-0000-0000-000053000000}"/>
    <cellStyle name="40% - Accent5 2" xfId="85" xr:uid="{00000000-0005-0000-0000-000054000000}"/>
    <cellStyle name="40% - Accent5 3" xfId="86" xr:uid="{00000000-0005-0000-0000-000055000000}"/>
    <cellStyle name="40% - Accent5 4" xfId="87" xr:uid="{00000000-0005-0000-0000-000056000000}"/>
    <cellStyle name="40% - Accent5 5" xfId="88" xr:uid="{00000000-0005-0000-0000-000057000000}"/>
    <cellStyle name="40% - Accent5 6" xfId="89" xr:uid="{00000000-0005-0000-0000-000058000000}"/>
    <cellStyle name="40% - Accent5 7" xfId="90" xr:uid="{00000000-0005-0000-0000-000059000000}"/>
    <cellStyle name="40% - Accent5 8" xfId="91" xr:uid="{00000000-0005-0000-0000-00005A000000}"/>
    <cellStyle name="40% - Accent5 9" xfId="92" xr:uid="{00000000-0005-0000-0000-00005B000000}"/>
    <cellStyle name="40% - Accent6 2" xfId="93" xr:uid="{00000000-0005-0000-0000-00005C000000}"/>
    <cellStyle name="40% - Accent6 3" xfId="94" xr:uid="{00000000-0005-0000-0000-00005D000000}"/>
    <cellStyle name="40% - Accent6 4" xfId="95" xr:uid="{00000000-0005-0000-0000-00005E000000}"/>
    <cellStyle name="40% - Accent6 5" xfId="96" xr:uid="{00000000-0005-0000-0000-00005F000000}"/>
    <cellStyle name="40% - Accent6 6" xfId="97" xr:uid="{00000000-0005-0000-0000-000060000000}"/>
    <cellStyle name="40% - Accent6 7" xfId="98" xr:uid="{00000000-0005-0000-0000-000061000000}"/>
    <cellStyle name="40% - Accent6 8" xfId="99" xr:uid="{00000000-0005-0000-0000-000062000000}"/>
    <cellStyle name="40% - Accent6 9" xfId="100" xr:uid="{00000000-0005-0000-0000-000063000000}"/>
    <cellStyle name="60% - Accent1 2" xfId="101" xr:uid="{00000000-0005-0000-0000-000064000000}"/>
    <cellStyle name="60% - Accent1 3" xfId="102" xr:uid="{00000000-0005-0000-0000-000065000000}"/>
    <cellStyle name="60% - Accent1 4" xfId="103" xr:uid="{00000000-0005-0000-0000-000066000000}"/>
    <cellStyle name="60% - Accent1 5" xfId="104" xr:uid="{00000000-0005-0000-0000-000067000000}"/>
    <cellStyle name="60% - Accent1 6" xfId="105" xr:uid="{00000000-0005-0000-0000-000068000000}"/>
    <cellStyle name="60% - Accent1 7" xfId="106" xr:uid="{00000000-0005-0000-0000-000069000000}"/>
    <cellStyle name="60% - Accent1 8" xfId="107" xr:uid="{00000000-0005-0000-0000-00006A000000}"/>
    <cellStyle name="60% - Accent1 9" xfId="108" xr:uid="{00000000-0005-0000-0000-00006B000000}"/>
    <cellStyle name="60% - Accent2 2" xfId="109" xr:uid="{00000000-0005-0000-0000-00006C000000}"/>
    <cellStyle name="60% - Accent2 3" xfId="110" xr:uid="{00000000-0005-0000-0000-00006D000000}"/>
    <cellStyle name="60% - Accent2 4" xfId="111" xr:uid="{00000000-0005-0000-0000-00006E000000}"/>
    <cellStyle name="60% - Accent2 5" xfId="112" xr:uid="{00000000-0005-0000-0000-00006F000000}"/>
    <cellStyle name="60% - Accent2 6" xfId="113" xr:uid="{00000000-0005-0000-0000-000070000000}"/>
    <cellStyle name="60% - Accent2 7" xfId="114" xr:uid="{00000000-0005-0000-0000-000071000000}"/>
    <cellStyle name="60% - Accent2 8" xfId="115" xr:uid="{00000000-0005-0000-0000-000072000000}"/>
    <cellStyle name="60% - Accent2 9" xfId="116" xr:uid="{00000000-0005-0000-0000-000073000000}"/>
    <cellStyle name="60% - Accent3 2" xfId="117" xr:uid="{00000000-0005-0000-0000-000074000000}"/>
    <cellStyle name="60% - Accent3 3" xfId="118" xr:uid="{00000000-0005-0000-0000-000075000000}"/>
    <cellStyle name="60% - Accent3 4" xfId="119" xr:uid="{00000000-0005-0000-0000-000076000000}"/>
    <cellStyle name="60% - Accent3 5" xfId="120" xr:uid="{00000000-0005-0000-0000-000077000000}"/>
    <cellStyle name="60% - Accent3 6" xfId="121" xr:uid="{00000000-0005-0000-0000-000078000000}"/>
    <cellStyle name="60% - Accent3 7" xfId="122" xr:uid="{00000000-0005-0000-0000-000079000000}"/>
    <cellStyle name="60% - Accent3 8" xfId="123" xr:uid="{00000000-0005-0000-0000-00007A000000}"/>
    <cellStyle name="60% - Accent3 9" xfId="124" xr:uid="{00000000-0005-0000-0000-00007B000000}"/>
    <cellStyle name="60% - Accent4 2" xfId="125" xr:uid="{00000000-0005-0000-0000-00007C000000}"/>
    <cellStyle name="60% - Accent4 3" xfId="126" xr:uid="{00000000-0005-0000-0000-00007D000000}"/>
    <cellStyle name="60% - Accent4 4" xfId="127" xr:uid="{00000000-0005-0000-0000-00007E000000}"/>
    <cellStyle name="60% - Accent4 5" xfId="128" xr:uid="{00000000-0005-0000-0000-00007F000000}"/>
    <cellStyle name="60% - Accent4 6" xfId="129" xr:uid="{00000000-0005-0000-0000-000080000000}"/>
    <cellStyle name="60% - Accent4 7" xfId="130" xr:uid="{00000000-0005-0000-0000-000081000000}"/>
    <cellStyle name="60% - Accent4 8" xfId="131" xr:uid="{00000000-0005-0000-0000-000082000000}"/>
    <cellStyle name="60% - Accent4 9" xfId="132" xr:uid="{00000000-0005-0000-0000-000083000000}"/>
    <cellStyle name="60% - Accent5 2" xfId="133" xr:uid="{00000000-0005-0000-0000-000084000000}"/>
    <cellStyle name="60% - Accent5 3" xfId="134" xr:uid="{00000000-0005-0000-0000-000085000000}"/>
    <cellStyle name="60% - Accent5 4" xfId="135" xr:uid="{00000000-0005-0000-0000-000086000000}"/>
    <cellStyle name="60% - Accent5 5" xfId="136" xr:uid="{00000000-0005-0000-0000-000087000000}"/>
    <cellStyle name="60% - Accent5 6" xfId="137" xr:uid="{00000000-0005-0000-0000-000088000000}"/>
    <cellStyle name="60% - Accent5 7" xfId="138" xr:uid="{00000000-0005-0000-0000-000089000000}"/>
    <cellStyle name="60% - Accent5 8" xfId="139" xr:uid="{00000000-0005-0000-0000-00008A000000}"/>
    <cellStyle name="60% - Accent5 9" xfId="140" xr:uid="{00000000-0005-0000-0000-00008B000000}"/>
    <cellStyle name="60% - Accent6 2" xfId="141" xr:uid="{00000000-0005-0000-0000-00008C000000}"/>
    <cellStyle name="60% - Accent6 3" xfId="142" xr:uid="{00000000-0005-0000-0000-00008D000000}"/>
    <cellStyle name="60% - Accent6 4" xfId="143" xr:uid="{00000000-0005-0000-0000-00008E000000}"/>
    <cellStyle name="60% - Accent6 5" xfId="144" xr:uid="{00000000-0005-0000-0000-00008F000000}"/>
    <cellStyle name="60% - Accent6 6" xfId="145" xr:uid="{00000000-0005-0000-0000-000090000000}"/>
    <cellStyle name="60% - Accent6 7" xfId="146" xr:uid="{00000000-0005-0000-0000-000091000000}"/>
    <cellStyle name="60% - Accent6 8" xfId="147" xr:uid="{00000000-0005-0000-0000-000092000000}"/>
    <cellStyle name="60% - Accent6 9" xfId="148" xr:uid="{00000000-0005-0000-0000-000093000000}"/>
    <cellStyle name="Accent1 2" xfId="149" xr:uid="{00000000-0005-0000-0000-000094000000}"/>
    <cellStyle name="Accent1 3" xfId="150" xr:uid="{00000000-0005-0000-0000-000095000000}"/>
    <cellStyle name="Accent1 4" xfId="151" xr:uid="{00000000-0005-0000-0000-000096000000}"/>
    <cellStyle name="Accent1 5" xfId="152" xr:uid="{00000000-0005-0000-0000-000097000000}"/>
    <cellStyle name="Accent1 6" xfId="153" xr:uid="{00000000-0005-0000-0000-000098000000}"/>
    <cellStyle name="Accent1 7" xfId="154" xr:uid="{00000000-0005-0000-0000-000099000000}"/>
    <cellStyle name="Accent1 8" xfId="155" xr:uid="{00000000-0005-0000-0000-00009A000000}"/>
    <cellStyle name="Accent1 9" xfId="156" xr:uid="{00000000-0005-0000-0000-00009B000000}"/>
    <cellStyle name="Accent2 2" xfId="157" xr:uid="{00000000-0005-0000-0000-00009C000000}"/>
    <cellStyle name="Accent2 3" xfId="158" xr:uid="{00000000-0005-0000-0000-00009D000000}"/>
    <cellStyle name="Accent2 4" xfId="159" xr:uid="{00000000-0005-0000-0000-00009E000000}"/>
    <cellStyle name="Accent2 5" xfId="160" xr:uid="{00000000-0005-0000-0000-00009F000000}"/>
    <cellStyle name="Accent2 6" xfId="161" xr:uid="{00000000-0005-0000-0000-0000A0000000}"/>
    <cellStyle name="Accent2 7" xfId="162" xr:uid="{00000000-0005-0000-0000-0000A1000000}"/>
    <cellStyle name="Accent2 8" xfId="163" xr:uid="{00000000-0005-0000-0000-0000A2000000}"/>
    <cellStyle name="Accent2 9" xfId="164" xr:uid="{00000000-0005-0000-0000-0000A3000000}"/>
    <cellStyle name="Accent3 2" xfId="165" xr:uid="{00000000-0005-0000-0000-0000A4000000}"/>
    <cellStyle name="Accent3 3" xfId="166" xr:uid="{00000000-0005-0000-0000-0000A5000000}"/>
    <cellStyle name="Accent3 4" xfId="167" xr:uid="{00000000-0005-0000-0000-0000A6000000}"/>
    <cellStyle name="Accent3 5" xfId="168" xr:uid="{00000000-0005-0000-0000-0000A7000000}"/>
    <cellStyle name="Accent3 6" xfId="169" xr:uid="{00000000-0005-0000-0000-0000A8000000}"/>
    <cellStyle name="Accent3 7" xfId="170" xr:uid="{00000000-0005-0000-0000-0000A9000000}"/>
    <cellStyle name="Accent3 8" xfId="171" xr:uid="{00000000-0005-0000-0000-0000AA000000}"/>
    <cellStyle name="Accent3 9" xfId="172" xr:uid="{00000000-0005-0000-0000-0000AB000000}"/>
    <cellStyle name="Accent4 2" xfId="173" xr:uid="{00000000-0005-0000-0000-0000AC000000}"/>
    <cellStyle name="Accent4 3" xfId="174" xr:uid="{00000000-0005-0000-0000-0000AD000000}"/>
    <cellStyle name="Accent4 4" xfId="175" xr:uid="{00000000-0005-0000-0000-0000AE000000}"/>
    <cellStyle name="Accent4 5" xfId="176" xr:uid="{00000000-0005-0000-0000-0000AF000000}"/>
    <cellStyle name="Accent4 6" xfId="177" xr:uid="{00000000-0005-0000-0000-0000B0000000}"/>
    <cellStyle name="Accent4 7" xfId="178" xr:uid="{00000000-0005-0000-0000-0000B1000000}"/>
    <cellStyle name="Accent4 8" xfId="179" xr:uid="{00000000-0005-0000-0000-0000B2000000}"/>
    <cellStyle name="Accent4 9" xfId="180" xr:uid="{00000000-0005-0000-0000-0000B3000000}"/>
    <cellStyle name="Accent5 2" xfId="181" xr:uid="{00000000-0005-0000-0000-0000B4000000}"/>
    <cellStyle name="Accent5 3" xfId="182" xr:uid="{00000000-0005-0000-0000-0000B5000000}"/>
    <cellStyle name="Accent5 4" xfId="183" xr:uid="{00000000-0005-0000-0000-0000B6000000}"/>
    <cellStyle name="Accent5 5" xfId="184" xr:uid="{00000000-0005-0000-0000-0000B7000000}"/>
    <cellStyle name="Accent5 6" xfId="185" xr:uid="{00000000-0005-0000-0000-0000B8000000}"/>
    <cellStyle name="Accent5 7" xfId="186" xr:uid="{00000000-0005-0000-0000-0000B9000000}"/>
    <cellStyle name="Accent5 8" xfId="187" xr:uid="{00000000-0005-0000-0000-0000BA000000}"/>
    <cellStyle name="Accent5 9" xfId="188" xr:uid="{00000000-0005-0000-0000-0000BB000000}"/>
    <cellStyle name="Accent6 2" xfId="189" xr:uid="{00000000-0005-0000-0000-0000BC000000}"/>
    <cellStyle name="Accent6 3" xfId="190" xr:uid="{00000000-0005-0000-0000-0000BD000000}"/>
    <cellStyle name="Accent6 4" xfId="191" xr:uid="{00000000-0005-0000-0000-0000BE000000}"/>
    <cellStyle name="Accent6 5" xfId="192" xr:uid="{00000000-0005-0000-0000-0000BF000000}"/>
    <cellStyle name="Accent6 6" xfId="193" xr:uid="{00000000-0005-0000-0000-0000C0000000}"/>
    <cellStyle name="Accent6 7" xfId="194" xr:uid="{00000000-0005-0000-0000-0000C1000000}"/>
    <cellStyle name="Accent6 8" xfId="195" xr:uid="{00000000-0005-0000-0000-0000C2000000}"/>
    <cellStyle name="Accent6 9" xfId="196" xr:uid="{00000000-0005-0000-0000-0000C3000000}"/>
    <cellStyle name="Bad 2" xfId="197" xr:uid="{00000000-0005-0000-0000-0000C4000000}"/>
    <cellStyle name="Bad 3" xfId="198" xr:uid="{00000000-0005-0000-0000-0000C5000000}"/>
    <cellStyle name="Bad 4" xfId="199" xr:uid="{00000000-0005-0000-0000-0000C6000000}"/>
    <cellStyle name="Bad 5" xfId="200" xr:uid="{00000000-0005-0000-0000-0000C7000000}"/>
    <cellStyle name="Bad 6" xfId="201" xr:uid="{00000000-0005-0000-0000-0000C8000000}"/>
    <cellStyle name="Bad 7" xfId="202" xr:uid="{00000000-0005-0000-0000-0000C9000000}"/>
    <cellStyle name="Bad 8" xfId="203" xr:uid="{00000000-0005-0000-0000-0000CA000000}"/>
    <cellStyle name="Bad 9" xfId="204" xr:uid="{00000000-0005-0000-0000-0000CB000000}"/>
    <cellStyle name="Calculation 2" xfId="205" xr:uid="{00000000-0005-0000-0000-0000CC000000}"/>
    <cellStyle name="Calculation 3" xfId="206" xr:uid="{00000000-0005-0000-0000-0000CD000000}"/>
    <cellStyle name="Calculation 4" xfId="207" xr:uid="{00000000-0005-0000-0000-0000CE000000}"/>
    <cellStyle name="Calculation 5" xfId="208" xr:uid="{00000000-0005-0000-0000-0000CF000000}"/>
    <cellStyle name="Calculation 6" xfId="209" xr:uid="{00000000-0005-0000-0000-0000D0000000}"/>
    <cellStyle name="Calculation 7" xfId="210" xr:uid="{00000000-0005-0000-0000-0000D1000000}"/>
    <cellStyle name="Calculation 8" xfId="211" xr:uid="{00000000-0005-0000-0000-0000D2000000}"/>
    <cellStyle name="Calculation 9" xfId="212" xr:uid="{00000000-0005-0000-0000-0000D3000000}"/>
    <cellStyle name="Check Cell 2" xfId="213" xr:uid="{00000000-0005-0000-0000-0000D4000000}"/>
    <cellStyle name="Check Cell 3" xfId="214" xr:uid="{00000000-0005-0000-0000-0000D5000000}"/>
    <cellStyle name="Check Cell 4" xfId="215" xr:uid="{00000000-0005-0000-0000-0000D6000000}"/>
    <cellStyle name="Check Cell 5" xfId="216" xr:uid="{00000000-0005-0000-0000-0000D7000000}"/>
    <cellStyle name="Check Cell 6" xfId="217" xr:uid="{00000000-0005-0000-0000-0000D8000000}"/>
    <cellStyle name="Check Cell 7" xfId="218" xr:uid="{00000000-0005-0000-0000-0000D9000000}"/>
    <cellStyle name="Check Cell 8" xfId="219" xr:uid="{00000000-0005-0000-0000-0000DA000000}"/>
    <cellStyle name="Check Cell 9" xfId="220" xr:uid="{00000000-0005-0000-0000-0000DB000000}"/>
    <cellStyle name="Comma" xfId="221" builtinId="3"/>
    <cellStyle name="Comma 10" xfId="222" xr:uid="{00000000-0005-0000-0000-0000DD000000}"/>
    <cellStyle name="Comma 11" xfId="223" xr:uid="{00000000-0005-0000-0000-0000DE000000}"/>
    <cellStyle name="Comma 12" xfId="224" xr:uid="{00000000-0005-0000-0000-0000DF000000}"/>
    <cellStyle name="Comma 13" xfId="374" xr:uid="{00000000-0005-0000-0000-0000E0000000}"/>
    <cellStyle name="Comma 14" xfId="375" xr:uid="{00000000-0005-0000-0000-0000E1000000}"/>
    <cellStyle name="Comma 2" xfId="225" xr:uid="{00000000-0005-0000-0000-0000E2000000}"/>
    <cellStyle name="Comma 2 2" xfId="226" xr:uid="{00000000-0005-0000-0000-0000E3000000}"/>
    <cellStyle name="Comma 2 3" xfId="227" xr:uid="{00000000-0005-0000-0000-0000E4000000}"/>
    <cellStyle name="Comma 2 4" xfId="228" xr:uid="{00000000-0005-0000-0000-0000E5000000}"/>
    <cellStyle name="Comma 3" xfId="229" xr:uid="{00000000-0005-0000-0000-0000E6000000}"/>
    <cellStyle name="Comma 3 2" xfId="230" xr:uid="{00000000-0005-0000-0000-0000E7000000}"/>
    <cellStyle name="Comma 4" xfId="231" xr:uid="{00000000-0005-0000-0000-0000E8000000}"/>
    <cellStyle name="Comma 5" xfId="232" xr:uid="{00000000-0005-0000-0000-0000E9000000}"/>
    <cellStyle name="Comma 6" xfId="233" xr:uid="{00000000-0005-0000-0000-0000EA000000}"/>
    <cellStyle name="Comma 7" xfId="234" xr:uid="{00000000-0005-0000-0000-0000EB000000}"/>
    <cellStyle name="Comma 8" xfId="235" xr:uid="{00000000-0005-0000-0000-0000EC000000}"/>
    <cellStyle name="Comma 9" xfId="236" xr:uid="{00000000-0005-0000-0000-0000ED000000}"/>
    <cellStyle name="Currency" xfId="237" builtinId="4"/>
    <cellStyle name="Explanatory Text 2" xfId="238" xr:uid="{00000000-0005-0000-0000-0000EF000000}"/>
    <cellStyle name="Explanatory Text 3" xfId="239" xr:uid="{00000000-0005-0000-0000-0000F0000000}"/>
    <cellStyle name="Explanatory Text 4" xfId="240" xr:uid="{00000000-0005-0000-0000-0000F1000000}"/>
    <cellStyle name="Explanatory Text 5" xfId="241" xr:uid="{00000000-0005-0000-0000-0000F2000000}"/>
    <cellStyle name="Explanatory Text 6" xfId="242" xr:uid="{00000000-0005-0000-0000-0000F3000000}"/>
    <cellStyle name="Explanatory Text 7" xfId="243" xr:uid="{00000000-0005-0000-0000-0000F4000000}"/>
    <cellStyle name="Explanatory Text 8" xfId="244" xr:uid="{00000000-0005-0000-0000-0000F5000000}"/>
    <cellStyle name="Explanatory Text 9" xfId="245" xr:uid="{00000000-0005-0000-0000-0000F6000000}"/>
    <cellStyle name="Good 2" xfId="246" xr:uid="{00000000-0005-0000-0000-0000F7000000}"/>
    <cellStyle name="Good 3" xfId="247" xr:uid="{00000000-0005-0000-0000-0000F8000000}"/>
    <cellStyle name="Good 4" xfId="248" xr:uid="{00000000-0005-0000-0000-0000F9000000}"/>
    <cellStyle name="Good 5" xfId="249" xr:uid="{00000000-0005-0000-0000-0000FA000000}"/>
    <cellStyle name="Good 6" xfId="250" xr:uid="{00000000-0005-0000-0000-0000FB000000}"/>
    <cellStyle name="Good 7" xfId="251" xr:uid="{00000000-0005-0000-0000-0000FC000000}"/>
    <cellStyle name="Good 8" xfId="252" xr:uid="{00000000-0005-0000-0000-0000FD000000}"/>
    <cellStyle name="Good 9" xfId="253" xr:uid="{00000000-0005-0000-0000-0000FE000000}"/>
    <cellStyle name="Heading 1 2" xfId="254" xr:uid="{00000000-0005-0000-0000-0000FF000000}"/>
    <cellStyle name="Heading 1 3" xfId="255" xr:uid="{00000000-0005-0000-0000-000000010000}"/>
    <cellStyle name="Heading 1 4" xfId="256" xr:uid="{00000000-0005-0000-0000-000001010000}"/>
    <cellStyle name="Heading 1 5" xfId="257" xr:uid="{00000000-0005-0000-0000-000002010000}"/>
    <cellStyle name="Heading 1 6" xfId="258" xr:uid="{00000000-0005-0000-0000-000003010000}"/>
    <cellStyle name="Heading 1 7" xfId="259" xr:uid="{00000000-0005-0000-0000-000004010000}"/>
    <cellStyle name="Heading 1 8" xfId="260" xr:uid="{00000000-0005-0000-0000-000005010000}"/>
    <cellStyle name="Heading 1 9" xfId="261" xr:uid="{00000000-0005-0000-0000-000006010000}"/>
    <cellStyle name="Heading 2 2" xfId="262" xr:uid="{00000000-0005-0000-0000-000007010000}"/>
    <cellStyle name="Heading 2 3" xfId="263" xr:uid="{00000000-0005-0000-0000-000008010000}"/>
    <cellStyle name="Heading 2 4" xfId="264" xr:uid="{00000000-0005-0000-0000-000009010000}"/>
    <cellStyle name="Heading 2 5" xfId="265" xr:uid="{00000000-0005-0000-0000-00000A010000}"/>
    <cellStyle name="Heading 2 6" xfId="266" xr:uid="{00000000-0005-0000-0000-00000B010000}"/>
    <cellStyle name="Heading 2 7" xfId="267" xr:uid="{00000000-0005-0000-0000-00000C010000}"/>
    <cellStyle name="Heading 2 8" xfId="268" xr:uid="{00000000-0005-0000-0000-00000D010000}"/>
    <cellStyle name="Heading 2 9" xfId="269" xr:uid="{00000000-0005-0000-0000-00000E010000}"/>
    <cellStyle name="Heading 3 2" xfId="270" xr:uid="{00000000-0005-0000-0000-00000F010000}"/>
    <cellStyle name="Heading 3 3" xfId="271" xr:uid="{00000000-0005-0000-0000-000010010000}"/>
    <cellStyle name="Heading 3 4" xfId="272" xr:uid="{00000000-0005-0000-0000-000011010000}"/>
    <cellStyle name="Heading 3 5" xfId="273" xr:uid="{00000000-0005-0000-0000-000012010000}"/>
    <cellStyle name="Heading 3 6" xfId="274" xr:uid="{00000000-0005-0000-0000-000013010000}"/>
    <cellStyle name="Heading 3 7" xfId="275" xr:uid="{00000000-0005-0000-0000-000014010000}"/>
    <cellStyle name="Heading 3 8" xfId="276" xr:uid="{00000000-0005-0000-0000-000015010000}"/>
    <cellStyle name="Heading 3 9" xfId="277" xr:uid="{00000000-0005-0000-0000-000016010000}"/>
    <cellStyle name="Heading 4 2" xfId="278" xr:uid="{00000000-0005-0000-0000-000017010000}"/>
    <cellStyle name="Heading 4 3" xfId="279" xr:uid="{00000000-0005-0000-0000-000018010000}"/>
    <cellStyle name="Heading 4 4" xfId="280" xr:uid="{00000000-0005-0000-0000-000019010000}"/>
    <cellStyle name="Heading 4 5" xfId="281" xr:uid="{00000000-0005-0000-0000-00001A010000}"/>
    <cellStyle name="Heading 4 6" xfId="282" xr:uid="{00000000-0005-0000-0000-00001B010000}"/>
    <cellStyle name="Heading 4 7" xfId="283" xr:uid="{00000000-0005-0000-0000-00001C010000}"/>
    <cellStyle name="Heading 4 8" xfId="284" xr:uid="{00000000-0005-0000-0000-00001D010000}"/>
    <cellStyle name="Heading 4 9" xfId="285" xr:uid="{00000000-0005-0000-0000-00001E010000}"/>
    <cellStyle name="Input 2" xfId="286" xr:uid="{00000000-0005-0000-0000-00001F010000}"/>
    <cellStyle name="Input 3" xfId="287" xr:uid="{00000000-0005-0000-0000-000020010000}"/>
    <cellStyle name="Input 4" xfId="288" xr:uid="{00000000-0005-0000-0000-000021010000}"/>
    <cellStyle name="Input 5" xfId="289" xr:uid="{00000000-0005-0000-0000-000022010000}"/>
    <cellStyle name="Input 6" xfId="290" xr:uid="{00000000-0005-0000-0000-000023010000}"/>
    <cellStyle name="Input 7" xfId="291" xr:uid="{00000000-0005-0000-0000-000024010000}"/>
    <cellStyle name="Input 8" xfId="292" xr:uid="{00000000-0005-0000-0000-000025010000}"/>
    <cellStyle name="Input 9" xfId="293" xr:uid="{00000000-0005-0000-0000-000026010000}"/>
    <cellStyle name="Linked Cell 2" xfId="294" xr:uid="{00000000-0005-0000-0000-000027010000}"/>
    <cellStyle name="Linked Cell 3" xfId="295" xr:uid="{00000000-0005-0000-0000-000028010000}"/>
    <cellStyle name="Linked Cell 4" xfId="296" xr:uid="{00000000-0005-0000-0000-000029010000}"/>
    <cellStyle name="Linked Cell 5" xfId="297" xr:uid="{00000000-0005-0000-0000-00002A010000}"/>
    <cellStyle name="Linked Cell 6" xfId="298" xr:uid="{00000000-0005-0000-0000-00002B010000}"/>
    <cellStyle name="Linked Cell 7" xfId="299" xr:uid="{00000000-0005-0000-0000-00002C010000}"/>
    <cellStyle name="Linked Cell 8" xfId="300" xr:uid="{00000000-0005-0000-0000-00002D010000}"/>
    <cellStyle name="Linked Cell 9" xfId="301" xr:uid="{00000000-0005-0000-0000-00002E010000}"/>
    <cellStyle name="Neutral 2" xfId="302" xr:uid="{00000000-0005-0000-0000-00002F010000}"/>
    <cellStyle name="Neutral 3" xfId="303" xr:uid="{00000000-0005-0000-0000-000030010000}"/>
    <cellStyle name="Neutral 4" xfId="304" xr:uid="{00000000-0005-0000-0000-000031010000}"/>
    <cellStyle name="Neutral 5" xfId="305" xr:uid="{00000000-0005-0000-0000-000032010000}"/>
    <cellStyle name="Neutral 6" xfId="306" xr:uid="{00000000-0005-0000-0000-000033010000}"/>
    <cellStyle name="Neutral 7" xfId="307" xr:uid="{00000000-0005-0000-0000-000034010000}"/>
    <cellStyle name="Neutral 8" xfId="308" xr:uid="{00000000-0005-0000-0000-000035010000}"/>
    <cellStyle name="Neutral 9" xfId="309" xr:uid="{00000000-0005-0000-0000-000036010000}"/>
    <cellStyle name="Normal" xfId="0" builtinId="0"/>
    <cellStyle name="Normal 10" xfId="310" xr:uid="{00000000-0005-0000-0000-000038010000}"/>
    <cellStyle name="Normal 11" xfId="311" xr:uid="{00000000-0005-0000-0000-000039010000}"/>
    <cellStyle name="Normal 12" xfId="312" xr:uid="{00000000-0005-0000-0000-00003A010000}"/>
    <cellStyle name="Normal 13" xfId="313" xr:uid="{00000000-0005-0000-0000-00003B010000}"/>
    <cellStyle name="Normal 14" xfId="314" xr:uid="{00000000-0005-0000-0000-00003C010000}"/>
    <cellStyle name="Normal 15" xfId="315" xr:uid="{00000000-0005-0000-0000-00003D010000}"/>
    <cellStyle name="Normal 16" xfId="316" xr:uid="{00000000-0005-0000-0000-00003E010000}"/>
    <cellStyle name="Normal 2" xfId="317" xr:uid="{00000000-0005-0000-0000-00003F010000}"/>
    <cellStyle name="Normal 2 2" xfId="318" xr:uid="{00000000-0005-0000-0000-000040010000}"/>
    <cellStyle name="Normal 3" xfId="319" xr:uid="{00000000-0005-0000-0000-000041010000}"/>
    <cellStyle name="Normal 3 2" xfId="320" xr:uid="{00000000-0005-0000-0000-000042010000}"/>
    <cellStyle name="Normal 4" xfId="321" xr:uid="{00000000-0005-0000-0000-000043010000}"/>
    <cellStyle name="Normal 4 2" xfId="322" xr:uid="{00000000-0005-0000-0000-000044010000}"/>
    <cellStyle name="Normal 5" xfId="323" xr:uid="{00000000-0005-0000-0000-000045010000}"/>
    <cellStyle name="Normal 5 2" xfId="324" xr:uid="{00000000-0005-0000-0000-000046010000}"/>
    <cellStyle name="Normal 6" xfId="325" xr:uid="{00000000-0005-0000-0000-000047010000}"/>
    <cellStyle name="Normal 6 2" xfId="326" xr:uid="{00000000-0005-0000-0000-000048010000}"/>
    <cellStyle name="Normal 7" xfId="327" xr:uid="{00000000-0005-0000-0000-000049010000}"/>
    <cellStyle name="Normal 8" xfId="328" xr:uid="{00000000-0005-0000-0000-00004A010000}"/>
    <cellStyle name="Normal 9" xfId="329" xr:uid="{00000000-0005-0000-0000-00004B010000}"/>
    <cellStyle name="Note 2" xfId="330" xr:uid="{00000000-0005-0000-0000-00004C010000}"/>
    <cellStyle name="Note 3" xfId="331" xr:uid="{00000000-0005-0000-0000-00004D010000}"/>
    <cellStyle name="Note 4" xfId="332" xr:uid="{00000000-0005-0000-0000-00004E010000}"/>
    <cellStyle name="Note 5" xfId="333" xr:uid="{00000000-0005-0000-0000-00004F010000}"/>
    <cellStyle name="Note 6" xfId="334" xr:uid="{00000000-0005-0000-0000-000050010000}"/>
    <cellStyle name="Note 7" xfId="335" xr:uid="{00000000-0005-0000-0000-000051010000}"/>
    <cellStyle name="Note 8" xfId="336" xr:uid="{00000000-0005-0000-0000-000052010000}"/>
    <cellStyle name="Note 9" xfId="337" xr:uid="{00000000-0005-0000-0000-000053010000}"/>
    <cellStyle name="Output 2" xfId="338" xr:uid="{00000000-0005-0000-0000-000054010000}"/>
    <cellStyle name="Output 3" xfId="339" xr:uid="{00000000-0005-0000-0000-000055010000}"/>
    <cellStyle name="Output 4" xfId="340" xr:uid="{00000000-0005-0000-0000-000056010000}"/>
    <cellStyle name="Output 5" xfId="341" xr:uid="{00000000-0005-0000-0000-000057010000}"/>
    <cellStyle name="Output 6" xfId="342" xr:uid="{00000000-0005-0000-0000-000058010000}"/>
    <cellStyle name="Output 7" xfId="343" xr:uid="{00000000-0005-0000-0000-000059010000}"/>
    <cellStyle name="Output 8" xfId="344" xr:uid="{00000000-0005-0000-0000-00005A010000}"/>
    <cellStyle name="Output 9" xfId="345" xr:uid="{00000000-0005-0000-0000-00005B010000}"/>
    <cellStyle name="Percent" xfId="376" builtinId="5"/>
    <cellStyle name="Percent 2" xfId="346" xr:uid="{00000000-0005-0000-0000-00005D010000}"/>
    <cellStyle name="Percent 3" xfId="347" xr:uid="{00000000-0005-0000-0000-00005E010000}"/>
    <cellStyle name="Style 1" xfId="348" xr:uid="{00000000-0005-0000-0000-00005F010000}"/>
    <cellStyle name="Style 1 2" xfId="349" xr:uid="{00000000-0005-0000-0000-000060010000}"/>
    <cellStyle name="Title 2" xfId="350" xr:uid="{00000000-0005-0000-0000-000061010000}"/>
    <cellStyle name="Title 3" xfId="351" xr:uid="{00000000-0005-0000-0000-000062010000}"/>
    <cellStyle name="Title 4" xfId="352" xr:uid="{00000000-0005-0000-0000-000063010000}"/>
    <cellStyle name="Title 5" xfId="353" xr:uid="{00000000-0005-0000-0000-000064010000}"/>
    <cellStyle name="Title 6" xfId="354" xr:uid="{00000000-0005-0000-0000-000065010000}"/>
    <cellStyle name="Title 7" xfId="355" xr:uid="{00000000-0005-0000-0000-000066010000}"/>
    <cellStyle name="Title 8" xfId="356" xr:uid="{00000000-0005-0000-0000-000067010000}"/>
    <cellStyle name="Title 9" xfId="357" xr:uid="{00000000-0005-0000-0000-000068010000}"/>
    <cellStyle name="Total 2" xfId="358" xr:uid="{00000000-0005-0000-0000-000069010000}"/>
    <cellStyle name="Total 3" xfId="359" xr:uid="{00000000-0005-0000-0000-00006A010000}"/>
    <cellStyle name="Total 4" xfId="360" xr:uid="{00000000-0005-0000-0000-00006B010000}"/>
    <cellStyle name="Total 5" xfId="361" xr:uid="{00000000-0005-0000-0000-00006C010000}"/>
    <cellStyle name="Total 6" xfId="362" xr:uid="{00000000-0005-0000-0000-00006D010000}"/>
    <cellStyle name="Total 7" xfId="363" xr:uid="{00000000-0005-0000-0000-00006E010000}"/>
    <cellStyle name="Total 8" xfId="364" xr:uid="{00000000-0005-0000-0000-00006F010000}"/>
    <cellStyle name="Total 9" xfId="365" xr:uid="{00000000-0005-0000-0000-000070010000}"/>
    <cellStyle name="Warning Text 2" xfId="366" xr:uid="{00000000-0005-0000-0000-000071010000}"/>
    <cellStyle name="Warning Text 3" xfId="367" xr:uid="{00000000-0005-0000-0000-000072010000}"/>
    <cellStyle name="Warning Text 4" xfId="368" xr:uid="{00000000-0005-0000-0000-000073010000}"/>
    <cellStyle name="Warning Text 5" xfId="369" xr:uid="{00000000-0005-0000-0000-000074010000}"/>
    <cellStyle name="Warning Text 6" xfId="370" xr:uid="{00000000-0005-0000-0000-000075010000}"/>
    <cellStyle name="Warning Text 7" xfId="371" xr:uid="{00000000-0005-0000-0000-000076010000}"/>
    <cellStyle name="Warning Text 8" xfId="372" xr:uid="{00000000-0005-0000-0000-000077010000}"/>
    <cellStyle name="Warning Text 9" xfId="373" xr:uid="{00000000-0005-0000-0000-000078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4"/>
  </sheetPr>
  <dimension ref="A1:AM65"/>
  <sheetViews>
    <sheetView zoomScale="136" zoomScaleNormal="130" workbookViewId="0">
      <pane xSplit="2" topLeftCell="R1" activePane="topRight" state="frozen"/>
      <selection pane="topRight" activeCell="V3" sqref="V3"/>
    </sheetView>
  </sheetViews>
  <sheetFormatPr baseColWidth="10" defaultColWidth="8.83203125" defaultRowHeight="12"/>
  <cols>
    <col min="1" max="1" width="25.33203125" style="51" customWidth="1"/>
    <col min="2" max="2" width="18.5" style="51" customWidth="1"/>
    <col min="3" max="17" width="15.33203125" style="51" customWidth="1"/>
    <col min="18" max="19" width="11.33203125" style="51" customWidth="1"/>
    <col min="20" max="20" width="10.83203125" style="51" customWidth="1"/>
    <col min="21" max="21" width="11" style="51" customWidth="1"/>
    <col min="22" max="24" width="11.33203125" style="51" customWidth="1"/>
    <col min="25" max="25" width="13" style="51" customWidth="1"/>
    <col min="26" max="27" width="10.83203125" style="51" customWidth="1"/>
    <col min="28" max="28" width="12.33203125" style="51" customWidth="1"/>
    <col min="29" max="29" width="11" style="51" customWidth="1"/>
    <col min="30" max="30" width="9.33203125" style="51" customWidth="1"/>
    <col min="31" max="31" width="12" style="51" customWidth="1"/>
    <col min="32" max="32" width="12.33203125" style="51" customWidth="1"/>
    <col min="33" max="33" width="10" style="51" customWidth="1"/>
    <col min="34" max="35" width="11" style="51" customWidth="1"/>
    <col min="36" max="36" width="9.33203125" style="51" customWidth="1"/>
    <col min="37" max="37" width="10.33203125" style="51" customWidth="1"/>
    <col min="38" max="38" width="11" style="51" customWidth="1"/>
    <col min="39" max="39" width="10.33203125" style="51" bestFit="1" customWidth="1"/>
    <col min="40" max="16384" width="8.83203125" style="51"/>
  </cols>
  <sheetData>
    <row r="1" spans="1:39">
      <c r="A1" s="48" t="s">
        <v>0</v>
      </c>
      <c r="B1" s="49"/>
      <c r="C1" s="50"/>
      <c r="D1" s="50"/>
      <c r="F1" s="52"/>
      <c r="G1" s="50"/>
      <c r="I1" s="50"/>
      <c r="J1" s="50"/>
    </row>
    <row r="2" spans="1:39">
      <c r="A2" s="53" t="s">
        <v>1</v>
      </c>
      <c r="B2" s="49"/>
      <c r="C2" s="50"/>
      <c r="D2" s="50"/>
      <c r="F2" s="50"/>
      <c r="G2" s="50"/>
      <c r="I2" s="50"/>
      <c r="J2" s="50"/>
    </row>
    <row r="3" spans="1:39" s="54" customFormat="1">
      <c r="A3" s="53" t="s">
        <v>2</v>
      </c>
      <c r="D3" s="54">
        <f>D4</f>
        <v>0</v>
      </c>
      <c r="G3" s="54">
        <f>D3+G4</f>
        <v>0</v>
      </c>
      <c r="J3" s="54">
        <f>G3+J4</f>
        <v>0</v>
      </c>
      <c r="M3" s="54">
        <f>J3+M4</f>
        <v>5000</v>
      </c>
      <c r="P3" s="152">
        <f>M3+P4</f>
        <v>46553.46</v>
      </c>
      <c r="S3" s="54">
        <f>P3+S4</f>
        <v>276360.06</v>
      </c>
      <c r="V3" s="54">
        <f>S3+V4</f>
        <v>276976.69</v>
      </c>
      <c r="Y3" s="54">
        <f>V3+Y4</f>
        <v>276976.69</v>
      </c>
      <c r="AB3" s="54">
        <f>Y3+AB4</f>
        <v>276976.69</v>
      </c>
      <c r="AE3" s="54">
        <f>AB3+AE4</f>
        <v>276976.69</v>
      </c>
      <c r="AH3" s="54">
        <f>AE3+AH4</f>
        <v>276976.69</v>
      </c>
      <c r="AK3" s="54">
        <f>AH3+AK4</f>
        <v>276976.69</v>
      </c>
    </row>
    <row r="4" spans="1:39" s="55" customFormat="1">
      <c r="D4" s="55">
        <f>C6+D6+E6+((C5+D5+E5)*$B$7)</f>
        <v>0</v>
      </c>
      <c r="G4" s="55">
        <f>F6+G6+H6+((F5+G5+H5)*$B$7)</f>
        <v>0</v>
      </c>
      <c r="J4" s="55">
        <f>I6+J6+K6+((I5+J5+K5)*$B$7)</f>
        <v>0</v>
      </c>
      <c r="M4" s="55">
        <f>L6+M6+N6+((L5+M5+N5)*$B$7)</f>
        <v>5000</v>
      </c>
      <c r="O4" s="56"/>
      <c r="P4" s="153">
        <f>O6+P6+Q6+((O5+P5+Q5)*$B$7)</f>
        <v>41553.46</v>
      </c>
      <c r="Q4" s="56"/>
      <c r="S4" s="55">
        <f>R6+S6+T6+((R5+S5+T5)*$B$7)</f>
        <v>229806.6</v>
      </c>
      <c r="V4" s="56">
        <f>U6+V6+W6+((U5+V5+W5)*$B$7)</f>
        <v>616.63</v>
      </c>
      <c r="Y4" s="55">
        <f>X6+Y6+Z6+((X5+Y5+Z5)*$B$7)</f>
        <v>0</v>
      </c>
      <c r="AB4" s="55">
        <f>AA6+AB6+AC6+((AA5+AB5+AC5)*$B$7)</f>
        <v>0</v>
      </c>
      <c r="AE4" s="55">
        <f>AD6+AE6+AF6+((AD5+AE5+AF5)*$B$7)</f>
        <v>0</v>
      </c>
      <c r="AH4" s="55">
        <f>AG6+AH6+AI6+((AG5+AH5+AI5)*$B$7)</f>
        <v>0</v>
      </c>
      <c r="AK4" s="55">
        <f>AJ6+AK6+AL6+((AJ5+AK5+AL5)*$B$7)</f>
        <v>0</v>
      </c>
    </row>
    <row r="5" spans="1:39" s="57" customFormat="1">
      <c r="B5" s="58" t="s">
        <v>3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9">
        <v>0</v>
      </c>
      <c r="P5" s="59">
        <v>0</v>
      </c>
      <c r="Q5" s="59">
        <v>0</v>
      </c>
      <c r="R5" s="57">
        <v>0</v>
      </c>
      <c r="S5" s="57">
        <v>0</v>
      </c>
      <c r="T5" s="57">
        <v>0</v>
      </c>
      <c r="U5" s="57">
        <v>0</v>
      </c>
      <c r="V5" s="57">
        <v>0</v>
      </c>
      <c r="W5" s="57">
        <v>0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57">
        <v>0</v>
      </c>
      <c r="AJ5" s="57">
        <v>0</v>
      </c>
      <c r="AK5" s="57">
        <v>0</v>
      </c>
      <c r="AL5" s="57">
        <v>0</v>
      </c>
    </row>
    <row r="6" spans="1:39" s="60" customFormat="1" ht="13" thickBot="1">
      <c r="B6" s="61" t="s">
        <v>4</v>
      </c>
      <c r="C6" s="60">
        <f>SUM(C10:C78)</f>
        <v>0</v>
      </c>
      <c r="D6" s="60">
        <f t="shared" ref="D6:AL6" si="0">SUM(D10:D78)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5000</v>
      </c>
      <c r="M6" s="60">
        <f t="shared" si="0"/>
        <v>0</v>
      </c>
      <c r="N6" s="60">
        <f t="shared" si="0"/>
        <v>0</v>
      </c>
      <c r="O6" s="60">
        <f t="shared" si="0"/>
        <v>10000</v>
      </c>
      <c r="P6" s="154">
        <f t="shared" si="0"/>
        <v>31553.46</v>
      </c>
      <c r="Q6" s="60">
        <f t="shared" si="0"/>
        <v>0</v>
      </c>
      <c r="R6" s="60">
        <f t="shared" si="0"/>
        <v>0</v>
      </c>
      <c r="S6" s="60">
        <f>SUM(S10:S78)</f>
        <v>229806.6</v>
      </c>
      <c r="T6" s="60">
        <f t="shared" si="0"/>
        <v>0</v>
      </c>
      <c r="U6" s="60">
        <f t="shared" si="0"/>
        <v>616.63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60">
        <f t="shared" si="0"/>
        <v>0</v>
      </c>
      <c r="AA6" s="60">
        <f t="shared" si="0"/>
        <v>0</v>
      </c>
      <c r="AB6" s="60">
        <f t="shared" si="0"/>
        <v>0</v>
      </c>
      <c r="AC6" s="60">
        <f t="shared" si="0"/>
        <v>0</v>
      </c>
      <c r="AD6" s="60">
        <f t="shared" si="0"/>
        <v>0</v>
      </c>
      <c r="AE6" s="60">
        <f t="shared" si="0"/>
        <v>0</v>
      </c>
      <c r="AF6" s="60">
        <f t="shared" si="0"/>
        <v>0</v>
      </c>
      <c r="AG6" s="60">
        <f t="shared" si="0"/>
        <v>0</v>
      </c>
      <c r="AH6" s="60">
        <f t="shared" si="0"/>
        <v>0</v>
      </c>
      <c r="AI6" s="60">
        <f t="shared" si="0"/>
        <v>0</v>
      </c>
      <c r="AJ6" s="60">
        <f t="shared" si="0"/>
        <v>0</v>
      </c>
      <c r="AK6" s="60">
        <f t="shared" si="0"/>
        <v>0</v>
      </c>
      <c r="AL6" s="60">
        <f t="shared" si="0"/>
        <v>0</v>
      </c>
    </row>
    <row r="7" spans="1:39" ht="13" thickBot="1">
      <c r="A7" s="62" t="s">
        <v>5</v>
      </c>
      <c r="B7" s="63"/>
      <c r="C7" s="183" t="s">
        <v>6</v>
      </c>
      <c r="D7" s="184"/>
      <c r="E7" s="185"/>
      <c r="F7" s="183" t="s">
        <v>7</v>
      </c>
      <c r="G7" s="184"/>
      <c r="H7" s="185"/>
      <c r="I7" s="183" t="s">
        <v>8</v>
      </c>
      <c r="J7" s="184"/>
      <c r="K7" s="185"/>
      <c r="L7" s="183" t="s">
        <v>9</v>
      </c>
      <c r="M7" s="184"/>
      <c r="N7" s="185"/>
      <c r="O7" s="183" t="s">
        <v>10</v>
      </c>
      <c r="P7" s="184"/>
      <c r="Q7" s="184"/>
      <c r="R7" s="183" t="s">
        <v>11</v>
      </c>
      <c r="S7" s="184"/>
      <c r="T7" s="185"/>
      <c r="U7" s="183" t="s">
        <v>12</v>
      </c>
      <c r="V7" s="184"/>
      <c r="W7" s="184"/>
      <c r="X7" s="183" t="s">
        <v>13</v>
      </c>
      <c r="Y7" s="184"/>
      <c r="Z7" s="185"/>
      <c r="AA7" s="183" t="s">
        <v>14</v>
      </c>
      <c r="AB7" s="184"/>
      <c r="AC7" s="184"/>
      <c r="AD7" s="183" t="s">
        <v>15</v>
      </c>
      <c r="AE7" s="184"/>
      <c r="AF7" s="185"/>
      <c r="AG7" s="183" t="s">
        <v>16</v>
      </c>
      <c r="AH7" s="184"/>
      <c r="AI7" s="185"/>
      <c r="AJ7" s="183" t="s">
        <v>17</v>
      </c>
      <c r="AK7" s="184"/>
      <c r="AL7" s="185"/>
    </row>
    <row r="8" spans="1:39">
      <c r="A8" s="64" t="s">
        <v>18</v>
      </c>
      <c r="B8" s="65" t="s">
        <v>19</v>
      </c>
      <c r="C8" s="186" t="s">
        <v>20</v>
      </c>
      <c r="D8" s="187"/>
      <c r="E8" s="188"/>
      <c r="F8" s="186" t="s">
        <v>20</v>
      </c>
      <c r="G8" s="187"/>
      <c r="H8" s="188"/>
      <c r="I8" s="186" t="s">
        <v>20</v>
      </c>
      <c r="J8" s="187"/>
      <c r="K8" s="188"/>
      <c r="L8" s="186" t="s">
        <v>20</v>
      </c>
      <c r="M8" s="187"/>
      <c r="N8" s="188"/>
      <c r="O8" s="186" t="s">
        <v>20</v>
      </c>
      <c r="P8" s="187"/>
      <c r="Q8" s="188"/>
      <c r="R8" s="186" t="s">
        <v>20</v>
      </c>
      <c r="S8" s="187"/>
      <c r="T8" s="188"/>
      <c r="U8" s="186" t="s">
        <v>20</v>
      </c>
      <c r="V8" s="187"/>
      <c r="W8" s="188"/>
      <c r="X8" s="186" t="s">
        <v>20</v>
      </c>
      <c r="Y8" s="187"/>
      <c r="Z8" s="188"/>
      <c r="AA8" s="186" t="s">
        <v>20</v>
      </c>
      <c r="AB8" s="187"/>
      <c r="AC8" s="188"/>
      <c r="AD8" s="186" t="s">
        <v>20</v>
      </c>
      <c r="AE8" s="187"/>
      <c r="AF8" s="188"/>
      <c r="AG8" s="186" t="s">
        <v>20</v>
      </c>
      <c r="AH8" s="187"/>
      <c r="AI8" s="188"/>
      <c r="AJ8" s="186" t="s">
        <v>20</v>
      </c>
      <c r="AK8" s="187"/>
      <c r="AL8" s="188"/>
    </row>
    <row r="9" spans="1:39">
      <c r="A9" s="66"/>
      <c r="B9" s="67"/>
      <c r="C9" s="68" t="s">
        <v>21</v>
      </c>
      <c r="D9" s="68" t="s">
        <v>22</v>
      </c>
      <c r="E9" s="69" t="s">
        <v>23</v>
      </c>
      <c r="F9" s="68" t="s">
        <v>21</v>
      </c>
      <c r="G9" s="68" t="s">
        <v>22</v>
      </c>
      <c r="H9" s="69" t="s">
        <v>23</v>
      </c>
      <c r="I9" s="68" t="s">
        <v>21</v>
      </c>
      <c r="J9" s="68" t="s">
        <v>22</v>
      </c>
      <c r="K9" s="69" t="s">
        <v>23</v>
      </c>
      <c r="L9" s="68" t="s">
        <v>21</v>
      </c>
      <c r="M9" s="68" t="s">
        <v>22</v>
      </c>
      <c r="N9" s="69" t="s">
        <v>23</v>
      </c>
      <c r="O9" s="68" t="s">
        <v>21</v>
      </c>
      <c r="P9" s="68" t="s">
        <v>22</v>
      </c>
      <c r="Q9" s="69" t="s">
        <v>23</v>
      </c>
      <c r="R9" s="68" t="s">
        <v>21</v>
      </c>
      <c r="S9" s="68" t="s">
        <v>22</v>
      </c>
      <c r="T9" s="69" t="s">
        <v>23</v>
      </c>
      <c r="U9" s="68" t="s">
        <v>21</v>
      </c>
      <c r="V9" s="68" t="s">
        <v>22</v>
      </c>
      <c r="W9" s="69" t="s">
        <v>23</v>
      </c>
      <c r="X9" s="68" t="s">
        <v>21</v>
      </c>
      <c r="Y9" s="68" t="s">
        <v>22</v>
      </c>
      <c r="Z9" s="69" t="s">
        <v>23</v>
      </c>
      <c r="AA9" s="68" t="s">
        <v>21</v>
      </c>
      <c r="AB9" s="68" t="s">
        <v>22</v>
      </c>
      <c r="AC9" s="69" t="s">
        <v>23</v>
      </c>
      <c r="AD9" s="68" t="s">
        <v>21</v>
      </c>
      <c r="AE9" s="68" t="s">
        <v>22</v>
      </c>
      <c r="AF9" s="69" t="s">
        <v>23</v>
      </c>
      <c r="AG9" s="68" t="s">
        <v>21</v>
      </c>
      <c r="AH9" s="68" t="s">
        <v>22</v>
      </c>
      <c r="AI9" s="69" t="s">
        <v>23</v>
      </c>
      <c r="AJ9" s="68" t="s">
        <v>21</v>
      </c>
      <c r="AK9" s="68" t="s">
        <v>22</v>
      </c>
      <c r="AL9" s="69" t="s">
        <v>23</v>
      </c>
    </row>
    <row r="10" spans="1:39">
      <c r="A10" s="70"/>
      <c r="B10" s="71"/>
      <c r="C10" s="52"/>
      <c r="D10" s="72"/>
      <c r="E10" s="70"/>
      <c r="F10" s="72"/>
      <c r="G10" s="72"/>
      <c r="H10" s="70"/>
      <c r="I10" s="72"/>
      <c r="J10" s="72"/>
      <c r="K10" s="70"/>
      <c r="L10" s="72"/>
      <c r="M10" s="72"/>
      <c r="N10" s="70"/>
      <c r="O10" s="72"/>
      <c r="P10" s="72"/>
      <c r="Q10" s="70"/>
      <c r="R10" s="72"/>
      <c r="S10" s="72"/>
      <c r="T10" s="70"/>
      <c r="U10" s="72"/>
      <c r="V10" s="72"/>
      <c r="W10" s="70"/>
      <c r="X10" s="72"/>
      <c r="Y10" s="72"/>
      <c r="Z10" s="70"/>
      <c r="AA10" s="72"/>
      <c r="AB10" s="72"/>
      <c r="AC10" s="70"/>
      <c r="AD10" s="72"/>
      <c r="AE10" s="72"/>
      <c r="AF10" s="70"/>
      <c r="AG10" s="72"/>
      <c r="AH10" s="72"/>
      <c r="AI10" s="70"/>
      <c r="AJ10" s="72"/>
      <c r="AL10" s="70"/>
    </row>
    <row r="11" spans="1:39">
      <c r="A11" s="73" t="s">
        <v>24</v>
      </c>
      <c r="B11" s="74" t="s">
        <v>45</v>
      </c>
      <c r="D11" s="52"/>
      <c r="G11" s="52"/>
      <c r="H11" s="50"/>
      <c r="I11" s="50"/>
      <c r="J11" s="52"/>
      <c r="L11" s="80"/>
      <c r="M11" s="50"/>
      <c r="P11" s="50"/>
      <c r="S11" s="50"/>
      <c r="T11" s="50"/>
      <c r="V11" s="50"/>
      <c r="W11" s="50"/>
      <c r="Y11" s="50"/>
      <c r="AB11" s="50"/>
      <c r="AC11" s="50"/>
      <c r="AE11" s="50"/>
      <c r="AH11" s="52"/>
      <c r="AK11" s="75"/>
      <c r="AM11" s="81"/>
    </row>
    <row r="12" spans="1:39">
      <c r="A12" s="73"/>
      <c r="B12" s="74" t="s">
        <v>52</v>
      </c>
      <c r="C12" s="52"/>
      <c r="D12" s="50"/>
      <c r="G12" s="50"/>
      <c r="H12" s="50"/>
      <c r="I12" s="50"/>
      <c r="J12" s="50"/>
      <c r="M12" s="50"/>
      <c r="P12" s="50"/>
      <c r="S12" s="50"/>
      <c r="V12" s="50"/>
      <c r="Y12" s="50"/>
      <c r="AB12" s="50"/>
      <c r="AE12" s="50"/>
    </row>
    <row r="13" spans="1:39">
      <c r="A13" s="73"/>
      <c r="B13" s="74" t="s">
        <v>26</v>
      </c>
      <c r="C13" s="50"/>
      <c r="D13" s="50"/>
      <c r="F13" s="52"/>
      <c r="G13" s="50"/>
      <c r="I13" s="50"/>
      <c r="J13" s="50"/>
      <c r="S13" s="52"/>
      <c r="AB13" s="80"/>
      <c r="AK13" s="80"/>
    </row>
    <row r="14" spans="1:39">
      <c r="A14" s="73"/>
      <c r="B14" s="74"/>
      <c r="C14" s="50"/>
      <c r="D14" s="50"/>
      <c r="F14" s="52"/>
      <c r="G14" s="50"/>
      <c r="I14" s="50"/>
      <c r="J14" s="50"/>
    </row>
    <row r="15" spans="1:39">
      <c r="A15" s="73" t="s">
        <v>27</v>
      </c>
      <c r="B15" s="74" t="s">
        <v>25</v>
      </c>
      <c r="C15" s="50"/>
      <c r="D15" s="50"/>
      <c r="F15" s="52"/>
      <c r="G15" s="50"/>
      <c r="I15" s="50"/>
      <c r="J15" s="50"/>
      <c r="AD15" s="50"/>
    </row>
    <row r="16" spans="1:39">
      <c r="A16" s="73"/>
      <c r="B16" s="74" t="s">
        <v>26</v>
      </c>
      <c r="C16" s="50"/>
      <c r="D16" s="50"/>
      <c r="F16" s="52"/>
      <c r="G16" s="50"/>
      <c r="I16" s="50"/>
      <c r="J16" s="50"/>
    </row>
    <row r="17" spans="1:39">
      <c r="A17" s="73"/>
      <c r="B17" s="74" t="s">
        <v>26</v>
      </c>
      <c r="C17" s="50"/>
      <c r="D17" s="50"/>
      <c r="F17" s="52"/>
      <c r="G17" s="50"/>
      <c r="I17" s="50"/>
      <c r="J17" s="50"/>
      <c r="AB17" s="50"/>
    </row>
    <row r="18" spans="1:39">
      <c r="A18" s="73"/>
      <c r="B18" s="74"/>
      <c r="C18" s="50"/>
      <c r="D18" s="50"/>
      <c r="F18" s="52"/>
      <c r="G18" s="52"/>
      <c r="I18" s="50"/>
      <c r="J18" s="50"/>
    </row>
    <row r="19" spans="1:39">
      <c r="A19" s="73" t="s">
        <v>89</v>
      </c>
      <c r="B19" s="74" t="s">
        <v>43</v>
      </c>
      <c r="C19" s="50"/>
      <c r="D19" s="50"/>
      <c r="E19" s="52"/>
      <c r="F19" s="52"/>
      <c r="G19" s="52"/>
      <c r="I19" s="50"/>
      <c r="J19" s="50"/>
      <c r="K19" s="53"/>
      <c r="V19" s="82"/>
      <c r="Z19" s="50"/>
      <c r="AM19" s="81"/>
    </row>
    <row r="20" spans="1:39">
      <c r="A20" s="73"/>
      <c r="B20" s="74" t="s">
        <v>44</v>
      </c>
      <c r="C20" s="50"/>
      <c r="D20" s="50"/>
      <c r="F20" s="52"/>
      <c r="G20" s="52"/>
      <c r="I20" s="50"/>
      <c r="J20" s="50"/>
      <c r="K20" s="53"/>
      <c r="M20" s="52"/>
      <c r="Q20" s="52"/>
      <c r="V20" s="82"/>
      <c r="Z20" s="52"/>
      <c r="AF20" s="52"/>
      <c r="AH20" s="50"/>
      <c r="AI20" s="82"/>
      <c r="AM20" s="81"/>
    </row>
    <row r="21" spans="1:39">
      <c r="A21" s="73"/>
      <c r="B21" s="74" t="s">
        <v>61</v>
      </c>
      <c r="C21" s="50"/>
      <c r="D21" s="50"/>
      <c r="F21" s="52"/>
      <c r="G21" s="52"/>
      <c r="I21" s="50"/>
      <c r="J21" s="52"/>
      <c r="K21" s="53"/>
      <c r="M21" s="52"/>
      <c r="Q21" s="52"/>
      <c r="V21" s="82"/>
      <c r="AH21" s="50"/>
      <c r="AI21" s="82"/>
      <c r="AM21" s="81"/>
    </row>
    <row r="22" spans="1:39">
      <c r="A22" s="73"/>
      <c r="B22" s="74" t="s">
        <v>46</v>
      </c>
      <c r="C22" s="50"/>
      <c r="D22" s="50"/>
      <c r="F22" s="52"/>
      <c r="G22" s="52"/>
      <c r="I22" s="50"/>
      <c r="J22" s="52"/>
      <c r="K22" s="53"/>
      <c r="M22" s="50"/>
      <c r="V22" s="82"/>
      <c r="AL22" s="52"/>
    </row>
    <row r="23" spans="1:39">
      <c r="A23" s="73"/>
      <c r="B23" s="74" t="s">
        <v>90</v>
      </c>
      <c r="C23" s="50"/>
      <c r="D23" s="50"/>
      <c r="F23" s="52"/>
      <c r="G23" s="52"/>
      <c r="I23" s="50"/>
      <c r="J23" s="52"/>
      <c r="K23" s="53"/>
      <c r="M23" s="50"/>
      <c r="S23" s="93"/>
      <c r="AL23" s="52"/>
    </row>
    <row r="24" spans="1:39">
      <c r="A24" s="73"/>
      <c r="B24" s="74" t="s">
        <v>120</v>
      </c>
      <c r="C24" s="50"/>
      <c r="D24" s="50"/>
      <c r="F24" s="52"/>
      <c r="G24" s="52"/>
      <c r="I24" s="50"/>
      <c r="J24" s="52"/>
      <c r="K24" s="53"/>
      <c r="M24" s="50"/>
      <c r="S24" s="164">
        <v>9411.9599999999991</v>
      </c>
      <c r="AL24" s="52"/>
    </row>
    <row r="25" spans="1:39">
      <c r="A25" s="73"/>
      <c r="B25" s="74" t="s">
        <v>102</v>
      </c>
      <c r="C25" s="50"/>
      <c r="D25" s="50"/>
      <c r="F25" s="52"/>
      <c r="G25" s="52"/>
      <c r="I25" s="50"/>
      <c r="J25" s="52"/>
      <c r="K25" s="53"/>
      <c r="S25" s="155"/>
      <c r="AL25" s="52"/>
    </row>
    <row r="26" spans="1:39">
      <c r="A26" s="73"/>
      <c r="B26" s="74"/>
      <c r="C26" s="50"/>
      <c r="D26" s="50"/>
      <c r="F26" s="52"/>
      <c r="G26" s="52"/>
      <c r="I26" s="50"/>
      <c r="J26" s="52"/>
      <c r="K26" s="53"/>
      <c r="M26" s="50"/>
      <c r="V26" s="82"/>
      <c r="AL26" s="52"/>
    </row>
    <row r="27" spans="1:39">
      <c r="A27" s="73" t="s">
        <v>60</v>
      </c>
      <c r="B27" s="74" t="s">
        <v>41</v>
      </c>
      <c r="C27" s="50"/>
      <c r="D27" s="50"/>
      <c r="F27" s="52"/>
      <c r="G27" s="52"/>
      <c r="I27" s="50"/>
      <c r="J27" s="76"/>
      <c r="K27" s="53"/>
      <c r="M27" s="50"/>
      <c r="V27" s="82"/>
      <c r="AM27" s="81"/>
    </row>
    <row r="28" spans="1:39">
      <c r="A28" s="73"/>
      <c r="B28" s="74" t="s">
        <v>90</v>
      </c>
      <c r="C28" s="50"/>
      <c r="D28" s="50"/>
      <c r="F28" s="52"/>
      <c r="G28" s="52"/>
      <c r="I28" s="50"/>
      <c r="J28" s="76"/>
      <c r="K28" s="53"/>
      <c r="M28" s="50"/>
      <c r="S28" s="93"/>
      <c r="AM28" s="81"/>
    </row>
    <row r="29" spans="1:39">
      <c r="A29" s="73"/>
      <c r="B29" s="74"/>
      <c r="C29" s="50"/>
      <c r="D29" s="50"/>
      <c r="F29" s="52"/>
      <c r="G29" s="52"/>
      <c r="I29" s="50"/>
      <c r="J29" s="76"/>
      <c r="K29" s="53"/>
      <c r="M29" s="50"/>
      <c r="V29" s="82"/>
      <c r="AM29" s="81"/>
    </row>
    <row r="30" spans="1:39">
      <c r="A30" s="73" t="s">
        <v>108</v>
      </c>
      <c r="B30" s="74" t="s">
        <v>110</v>
      </c>
      <c r="C30" s="50"/>
      <c r="D30" s="50"/>
      <c r="F30" s="52"/>
      <c r="G30" s="50"/>
      <c r="I30" s="50"/>
      <c r="J30" s="50"/>
      <c r="L30" s="162">
        <v>5000</v>
      </c>
      <c r="O30" s="162">
        <v>10000</v>
      </c>
      <c r="AA30" s="50"/>
      <c r="AD30" s="50"/>
    </row>
    <row r="31" spans="1:39">
      <c r="A31" s="73"/>
      <c r="B31" s="74" t="s">
        <v>109</v>
      </c>
      <c r="C31" s="50"/>
      <c r="D31" s="50"/>
      <c r="F31" s="52"/>
      <c r="G31" s="50"/>
      <c r="I31" s="50"/>
      <c r="J31" s="50"/>
      <c r="L31" s="162"/>
      <c r="AA31" s="50"/>
      <c r="AD31" s="50"/>
    </row>
    <row r="32" spans="1:39">
      <c r="A32" s="73"/>
      <c r="B32" s="74"/>
      <c r="C32" s="50"/>
      <c r="D32" s="50"/>
      <c r="F32" s="52"/>
      <c r="G32" s="52"/>
      <c r="I32" s="50"/>
      <c r="J32" s="50"/>
      <c r="K32" s="53"/>
      <c r="M32" s="50"/>
      <c r="V32" s="82"/>
    </row>
    <row r="33" spans="1:39" ht="13" customHeight="1">
      <c r="A33" s="73" t="s">
        <v>51</v>
      </c>
      <c r="B33" s="74" t="s">
        <v>50</v>
      </c>
      <c r="C33" s="50"/>
      <c r="D33" s="50"/>
      <c r="F33" s="52"/>
      <c r="G33" s="52"/>
      <c r="I33" s="50"/>
      <c r="J33" s="50"/>
      <c r="U33" s="52"/>
      <c r="AD33" s="50"/>
      <c r="AG33" s="50"/>
      <c r="AL33" s="52"/>
      <c r="AM33" s="81"/>
    </row>
    <row r="34" spans="1:39">
      <c r="A34" s="73"/>
      <c r="B34" s="74" t="s">
        <v>72</v>
      </c>
      <c r="C34" s="50"/>
      <c r="D34" s="50"/>
      <c r="F34" s="52"/>
      <c r="G34" s="52"/>
      <c r="I34" s="50"/>
      <c r="J34" s="50"/>
      <c r="O34" s="52"/>
      <c r="AA34" s="52"/>
      <c r="AM34" s="81"/>
    </row>
    <row r="35" spans="1:39">
      <c r="A35" s="73"/>
      <c r="B35" s="74" t="s">
        <v>120</v>
      </c>
      <c r="C35" s="50"/>
      <c r="D35" s="50"/>
      <c r="F35" s="52"/>
      <c r="G35" s="52"/>
      <c r="I35" s="50"/>
      <c r="J35" s="50"/>
      <c r="O35" s="52"/>
      <c r="S35" s="155">
        <v>220159.6</v>
      </c>
      <c r="AA35" s="52"/>
      <c r="AM35" s="81"/>
    </row>
    <row r="36" spans="1:39">
      <c r="A36" s="73"/>
      <c r="B36" s="74"/>
      <c r="C36" s="50"/>
      <c r="D36" s="50"/>
      <c r="F36" s="52"/>
      <c r="G36" s="52"/>
      <c r="I36" s="50"/>
      <c r="J36" s="50"/>
      <c r="AM36" s="81"/>
    </row>
    <row r="37" spans="1:39">
      <c r="A37" s="73" t="s">
        <v>73</v>
      </c>
      <c r="B37" s="74" t="s">
        <v>74</v>
      </c>
      <c r="C37" s="50"/>
      <c r="D37" s="50"/>
      <c r="F37" s="52"/>
      <c r="G37" s="50"/>
      <c r="I37" s="50"/>
      <c r="J37" s="50"/>
      <c r="U37" s="83"/>
    </row>
    <row r="38" spans="1:39">
      <c r="A38" s="73"/>
      <c r="B38" s="74" t="s">
        <v>26</v>
      </c>
      <c r="C38" s="50"/>
      <c r="D38" s="50"/>
      <c r="F38" s="52"/>
      <c r="G38" s="50"/>
      <c r="I38" s="50"/>
      <c r="J38" s="50"/>
    </row>
    <row r="39" spans="1:39">
      <c r="C39" s="50"/>
      <c r="D39" s="50"/>
      <c r="G39" s="50"/>
      <c r="I39" s="50"/>
      <c r="J39" s="50"/>
      <c r="Q39" s="50"/>
      <c r="Z39" s="50"/>
      <c r="AC39" s="50"/>
      <c r="AK39" s="50"/>
    </row>
    <row r="40" spans="1:39">
      <c r="A40" s="77" t="s">
        <v>49</v>
      </c>
      <c r="B40" s="74" t="s">
        <v>25</v>
      </c>
      <c r="C40" s="50"/>
      <c r="D40" s="50"/>
      <c r="F40" s="52"/>
      <c r="G40" s="50"/>
      <c r="H40" s="52"/>
      <c r="I40" s="50"/>
      <c r="J40" s="50"/>
      <c r="V40" s="82"/>
      <c r="X40" s="50"/>
    </row>
    <row r="41" spans="1:39">
      <c r="A41" s="53"/>
      <c r="B41" s="74" t="s">
        <v>26</v>
      </c>
    </row>
    <row r="42" spans="1:39">
      <c r="A42" s="53"/>
      <c r="B42" s="74"/>
      <c r="AC42" s="84"/>
      <c r="AD42" s="78"/>
    </row>
    <row r="43" spans="1:39">
      <c r="A43" s="77" t="s">
        <v>56</v>
      </c>
      <c r="B43" s="74" t="s">
        <v>25</v>
      </c>
      <c r="H43" s="52"/>
      <c r="P43" s="50"/>
      <c r="U43" s="85"/>
      <c r="V43" s="86"/>
    </row>
    <row r="44" spans="1:39">
      <c r="A44" s="53"/>
      <c r="B44" s="74" t="s">
        <v>26</v>
      </c>
    </row>
    <row r="46" spans="1:39">
      <c r="A46" s="77" t="s">
        <v>57</v>
      </c>
      <c r="B46" s="74" t="s">
        <v>58</v>
      </c>
      <c r="R46" s="50"/>
    </row>
    <row r="47" spans="1:39">
      <c r="A47" s="53"/>
      <c r="B47" s="74"/>
      <c r="R47" s="50"/>
    </row>
    <row r="48" spans="1:39">
      <c r="A48" s="73" t="s">
        <v>71</v>
      </c>
      <c r="B48" s="74" t="s">
        <v>120</v>
      </c>
      <c r="C48" s="50"/>
      <c r="D48" s="50"/>
      <c r="F48" s="52"/>
      <c r="G48" s="50"/>
      <c r="I48" s="50"/>
      <c r="J48" s="50"/>
      <c r="P48" s="155">
        <v>31553.46</v>
      </c>
      <c r="AG48" s="52"/>
    </row>
    <row r="49" spans="1:31">
      <c r="A49" s="73"/>
      <c r="B49" s="74" t="s">
        <v>26</v>
      </c>
      <c r="C49" s="50"/>
      <c r="D49" s="50"/>
      <c r="F49" s="52"/>
      <c r="G49" s="50"/>
      <c r="I49" s="50"/>
      <c r="J49" s="50"/>
      <c r="AE49" s="49"/>
    </row>
    <row r="51" spans="1:31">
      <c r="A51" s="73" t="s">
        <v>79</v>
      </c>
      <c r="B51" s="74" t="s">
        <v>25</v>
      </c>
      <c r="L51" s="80"/>
    </row>
    <row r="52" spans="1:31">
      <c r="A52" s="73"/>
      <c r="B52" s="74" t="s">
        <v>26</v>
      </c>
    </row>
    <row r="54" spans="1:31">
      <c r="A54" s="73" t="s">
        <v>80</v>
      </c>
      <c r="B54" s="74" t="s">
        <v>93</v>
      </c>
      <c r="D54" s="80"/>
      <c r="P54" s="155"/>
      <c r="U54" s="52"/>
    </row>
    <row r="55" spans="1:31">
      <c r="A55" s="73"/>
      <c r="B55" s="74" t="s">
        <v>26</v>
      </c>
      <c r="P55" s="93"/>
      <c r="Y55" s="52"/>
    </row>
    <row r="57" spans="1:31">
      <c r="A57" s="73" t="s">
        <v>88</v>
      </c>
      <c r="B57" s="74" t="s">
        <v>25</v>
      </c>
    </row>
    <row r="58" spans="1:31">
      <c r="A58" s="73"/>
      <c r="B58" s="74" t="s">
        <v>26</v>
      </c>
      <c r="M58" s="52"/>
    </row>
    <row r="60" spans="1:31">
      <c r="A60" s="73" t="s">
        <v>94</v>
      </c>
      <c r="P60" s="82"/>
      <c r="S60" s="93"/>
    </row>
    <row r="62" spans="1:31">
      <c r="A62" s="163" t="s">
        <v>107</v>
      </c>
      <c r="B62" s="51" t="s">
        <v>120</v>
      </c>
      <c r="S62" s="81">
        <v>235.04</v>
      </c>
    </row>
    <row r="65" spans="1:21">
      <c r="A65" s="163" t="s">
        <v>121</v>
      </c>
      <c r="B65" s="51" t="s">
        <v>120</v>
      </c>
      <c r="U65" s="51">
        <v>616.63</v>
      </c>
    </row>
  </sheetData>
  <mergeCells count="24">
    <mergeCell ref="O7:Q7"/>
    <mergeCell ref="R7:T7"/>
    <mergeCell ref="U8:W8"/>
    <mergeCell ref="X8:Z8"/>
    <mergeCell ref="O8:Q8"/>
    <mergeCell ref="R8:T8"/>
    <mergeCell ref="U7:W7"/>
    <mergeCell ref="X7:Z7"/>
    <mergeCell ref="AG7:AI7"/>
    <mergeCell ref="AJ7:AL7"/>
    <mergeCell ref="AG8:AI8"/>
    <mergeCell ref="AJ8:AL8"/>
    <mergeCell ref="AA7:AC7"/>
    <mergeCell ref="AD7:AF7"/>
    <mergeCell ref="AA8:AC8"/>
    <mergeCell ref="AD8:AF8"/>
    <mergeCell ref="C7:E7"/>
    <mergeCell ref="F7:H7"/>
    <mergeCell ref="I7:K7"/>
    <mergeCell ref="L7:N7"/>
    <mergeCell ref="C8:E8"/>
    <mergeCell ref="F8:H8"/>
    <mergeCell ref="I8:K8"/>
    <mergeCell ref="L8:N8"/>
  </mergeCells>
  <phoneticPr fontId="0" type="noConversion"/>
  <pageMargins left="0.75" right="0.75" top="1" bottom="1" header="0.5" footer="0.5"/>
  <pageSetup scale="39" orientation="landscape" r:id="rId1"/>
  <headerFooter alignWithMargins="0"/>
  <colBreaks count="1" manualBreakCount="1">
    <brk id="17" max="4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3"/>
  </sheetPr>
  <dimension ref="A1:AM55"/>
  <sheetViews>
    <sheetView zoomScale="140" zoomScaleNormal="160" workbookViewId="0">
      <pane xSplit="2" topLeftCell="Z1" activePane="topRight" state="frozen"/>
      <selection pane="topRight" activeCell="AE3" sqref="AE3"/>
    </sheetView>
  </sheetViews>
  <sheetFormatPr baseColWidth="10" defaultColWidth="8.83203125" defaultRowHeight="11"/>
  <cols>
    <col min="1" max="1" width="11.33203125" style="7" customWidth="1"/>
    <col min="2" max="2" width="23.33203125" style="7" customWidth="1"/>
    <col min="3" max="3" width="9.6640625" style="7" customWidth="1"/>
    <col min="4" max="4" width="12.33203125" style="7" customWidth="1"/>
    <col min="5" max="5" width="8.33203125" style="7" customWidth="1"/>
    <col min="6" max="6" width="10.1640625" style="7" customWidth="1"/>
    <col min="7" max="7" width="10" style="7" customWidth="1"/>
    <col min="8" max="8" width="9.1640625" style="7" customWidth="1"/>
    <col min="9" max="9" width="10.33203125" style="7" customWidth="1"/>
    <col min="10" max="10" width="10.6640625" style="7" customWidth="1"/>
    <col min="11" max="11" width="10.33203125" style="7" customWidth="1"/>
    <col min="12" max="12" width="10.83203125" style="7" customWidth="1"/>
    <col min="13" max="13" width="11.83203125" style="7" customWidth="1"/>
    <col min="14" max="14" width="9.6640625" style="7" customWidth="1"/>
    <col min="15" max="15" width="10.33203125" style="7" customWidth="1"/>
    <col min="16" max="16" width="12.1640625" style="7" customWidth="1"/>
    <col min="17" max="17" width="9.5" style="7" customWidth="1"/>
    <col min="18" max="18" width="9.6640625" style="7" customWidth="1"/>
    <col min="19" max="20" width="10.83203125" style="7" customWidth="1"/>
    <col min="21" max="21" width="11.5" style="7" customWidth="1"/>
    <col min="22" max="22" width="12.6640625" style="7" customWidth="1"/>
    <col min="23" max="24" width="10" style="7" customWidth="1"/>
    <col min="25" max="25" width="12" style="7" customWidth="1"/>
    <col min="26" max="26" width="10" style="7" customWidth="1"/>
    <col min="27" max="27" width="10.1640625" style="7" customWidth="1"/>
    <col min="28" max="28" width="14.5" style="7" customWidth="1"/>
    <col min="29" max="29" width="9.83203125" style="7" customWidth="1"/>
    <col min="30" max="30" width="11.5" style="9" customWidth="1"/>
    <col min="31" max="31" width="16.1640625" style="7" customWidth="1"/>
    <col min="32" max="32" width="11" style="7" customWidth="1"/>
    <col min="33" max="33" width="11.83203125" style="7" customWidth="1"/>
    <col min="34" max="34" width="12.6640625" style="7" customWidth="1"/>
    <col min="35" max="35" width="12.83203125" style="7" customWidth="1"/>
    <col min="36" max="36" width="11.33203125" style="7" customWidth="1"/>
    <col min="37" max="37" width="13.83203125" style="7" customWidth="1"/>
    <col min="38" max="38" width="13" style="7" customWidth="1"/>
    <col min="39" max="39" width="17" style="7" customWidth="1"/>
    <col min="40" max="16384" width="8.83203125" style="7"/>
  </cols>
  <sheetData>
    <row r="1" spans="1:39">
      <c r="A1" s="4" t="s">
        <v>0</v>
      </c>
      <c r="B1" s="5"/>
      <c r="C1" s="6"/>
      <c r="D1" s="6"/>
      <c r="F1" s="6"/>
      <c r="G1" s="6"/>
      <c r="I1" s="6"/>
      <c r="J1" s="6"/>
      <c r="S1" s="8"/>
      <c r="T1" s="8"/>
    </row>
    <row r="2" spans="1:39">
      <c r="A2" s="10" t="s">
        <v>1</v>
      </c>
      <c r="B2" s="5"/>
      <c r="C2" s="6"/>
      <c r="D2" s="6"/>
      <c r="F2" s="6"/>
      <c r="G2" s="6"/>
      <c r="I2" s="6"/>
      <c r="J2" s="6"/>
      <c r="N2" s="8"/>
      <c r="O2" s="11"/>
      <c r="P2" s="8"/>
      <c r="Q2" s="8"/>
      <c r="S2" s="11"/>
      <c r="T2" s="11"/>
      <c r="W2" s="8"/>
      <c r="AF2" s="8"/>
      <c r="AI2" s="8"/>
    </row>
    <row r="3" spans="1:39" s="15" customFormat="1">
      <c r="A3" s="10" t="s">
        <v>29</v>
      </c>
      <c r="B3" s="12"/>
      <c r="C3" s="13"/>
      <c r="D3" s="14">
        <f>D4</f>
        <v>371652.18</v>
      </c>
      <c r="F3" s="13"/>
      <c r="G3" s="14">
        <f>G4+D4</f>
        <v>371652.18</v>
      </c>
      <c r="I3" s="13"/>
      <c r="J3" s="14">
        <f>J4+G3</f>
        <v>371652.18</v>
      </c>
      <c r="K3" s="16"/>
      <c r="L3" s="17"/>
      <c r="M3" s="14">
        <f>J3+M4</f>
        <v>1317851.53</v>
      </c>
      <c r="P3" s="18">
        <f>M3+P4</f>
        <v>1325662.43</v>
      </c>
      <c r="Q3" s="19"/>
      <c r="S3" s="18">
        <f>P3+S4</f>
        <v>1373946.9</v>
      </c>
      <c r="T3" s="20"/>
      <c r="V3" s="18">
        <f>S3+V4</f>
        <v>2016798.2999999998</v>
      </c>
      <c r="Y3" s="18">
        <f>V3+Y4</f>
        <v>2149431.6599999997</v>
      </c>
      <c r="AB3" s="14">
        <f>Y3+AB4</f>
        <v>2227809.4599999995</v>
      </c>
      <c r="AD3" s="21"/>
      <c r="AE3" s="14">
        <f>AB3+AE4</f>
        <v>2268533.3499999996</v>
      </c>
      <c r="AH3" s="14">
        <f>AE3+AH4</f>
        <v>2268533.3499999996</v>
      </c>
      <c r="AK3" s="14">
        <f>AH3+AK4</f>
        <v>2268533.3499999996</v>
      </c>
    </row>
    <row r="4" spans="1:39">
      <c r="A4" s="4"/>
      <c r="B4" s="22"/>
      <c r="C4" s="23"/>
      <c r="D4" s="23">
        <f>C5+E5</f>
        <v>371652.18</v>
      </c>
      <c r="E4" s="4"/>
      <c r="F4" s="23"/>
      <c r="G4" s="24">
        <f>F5+H5</f>
        <v>0</v>
      </c>
      <c r="I4" s="23"/>
      <c r="J4" s="24">
        <f>I5+K5+J5</f>
        <v>0</v>
      </c>
      <c r="L4" s="24"/>
      <c r="M4" s="24">
        <f>L5+N5</f>
        <v>946199.35</v>
      </c>
      <c r="N4" s="4"/>
      <c r="O4" s="24"/>
      <c r="P4" s="24">
        <f>O5+Q5+P5</f>
        <v>7810.9</v>
      </c>
      <c r="Q4" s="24"/>
      <c r="R4" s="4"/>
      <c r="S4" s="24">
        <f>S5+R5+T5</f>
        <v>48284.47</v>
      </c>
      <c r="T4" s="4"/>
      <c r="U4" s="4"/>
      <c r="V4" s="23">
        <f>U5+W5</f>
        <v>642851.4</v>
      </c>
      <c r="W4" s="4"/>
      <c r="X4" s="4"/>
      <c r="Y4" s="23">
        <f>X5+Z5</f>
        <v>132633.35999999999</v>
      </c>
      <c r="Z4" s="4"/>
      <c r="AA4" s="4"/>
      <c r="AB4" s="23">
        <f>AA5+AC5</f>
        <v>78377.8</v>
      </c>
      <c r="AC4" s="4"/>
      <c r="AD4" s="25"/>
      <c r="AE4" s="23">
        <f>AD5+AF5</f>
        <v>40723.89</v>
      </c>
      <c r="AF4" s="24"/>
      <c r="AG4" s="4"/>
      <c r="AH4" s="23">
        <f>AG5+AI5</f>
        <v>0</v>
      </c>
      <c r="AI4" s="23"/>
      <c r="AJ4" s="23"/>
      <c r="AK4" s="23">
        <f t="shared" ref="AK4" si="0">AJ5+AL5</f>
        <v>0</v>
      </c>
      <c r="AL4" s="4"/>
      <c r="AM4" s="8"/>
    </row>
    <row r="5" spans="1:39" ht="12" thickBot="1">
      <c r="B5" s="26" t="s">
        <v>4</v>
      </c>
      <c r="C5" s="27">
        <f>SUM(C9:C51)</f>
        <v>371652.18</v>
      </c>
      <c r="D5" s="27">
        <f t="shared" ref="D5:AL5" si="1">SUM(D9:D51)</f>
        <v>0</v>
      </c>
      <c r="E5" s="27">
        <f t="shared" si="1"/>
        <v>0</v>
      </c>
      <c r="F5" s="27">
        <f>SUM(F9:F51)</f>
        <v>0</v>
      </c>
      <c r="G5" s="27">
        <f t="shared" si="1"/>
        <v>0</v>
      </c>
      <c r="H5" s="27">
        <f t="shared" si="1"/>
        <v>0</v>
      </c>
      <c r="I5" s="27">
        <f t="shared" si="1"/>
        <v>0</v>
      </c>
      <c r="J5" s="27">
        <f t="shared" si="1"/>
        <v>0</v>
      </c>
      <c r="K5" s="27">
        <f t="shared" si="1"/>
        <v>0</v>
      </c>
      <c r="L5" s="27">
        <f>SUM(L9:L51)</f>
        <v>946199.35</v>
      </c>
      <c r="M5" s="27">
        <f t="shared" si="1"/>
        <v>0</v>
      </c>
      <c r="N5" s="27">
        <f t="shared" si="1"/>
        <v>0</v>
      </c>
      <c r="O5" s="27">
        <f>SUM(O9:O51)</f>
        <v>7810.9</v>
      </c>
      <c r="P5" s="27">
        <f>SUM(P9:P51)</f>
        <v>0</v>
      </c>
      <c r="Q5" s="27">
        <f t="shared" si="1"/>
        <v>0</v>
      </c>
      <c r="R5" s="27">
        <f>SUM(R9:R51)</f>
        <v>48284.47</v>
      </c>
      <c r="S5" s="27">
        <f t="shared" si="1"/>
        <v>0</v>
      </c>
      <c r="T5" s="27">
        <f t="shared" si="1"/>
        <v>0</v>
      </c>
      <c r="U5" s="27">
        <f>SUM(U9:U51)</f>
        <v>642851.4</v>
      </c>
      <c r="V5" s="27">
        <f t="shared" si="1"/>
        <v>0</v>
      </c>
      <c r="W5" s="27">
        <f t="shared" si="1"/>
        <v>0</v>
      </c>
      <c r="X5" s="27">
        <f>SUM(X9:X51)</f>
        <v>132633.35999999999</v>
      </c>
      <c r="Y5" s="27">
        <f t="shared" si="1"/>
        <v>0</v>
      </c>
      <c r="Z5" s="27">
        <f t="shared" si="1"/>
        <v>0</v>
      </c>
      <c r="AA5" s="27">
        <f>SUM(AA9:AA51)</f>
        <v>78377.8</v>
      </c>
      <c r="AB5" s="27">
        <f t="shared" si="1"/>
        <v>0</v>
      </c>
      <c r="AC5" s="27">
        <f t="shared" si="1"/>
        <v>0</v>
      </c>
      <c r="AD5" s="28">
        <f>SUM(AD9:AD51)</f>
        <v>40723.89</v>
      </c>
      <c r="AE5" s="27">
        <f t="shared" si="1"/>
        <v>0</v>
      </c>
      <c r="AF5" s="27">
        <f t="shared" si="1"/>
        <v>0</v>
      </c>
      <c r="AG5" s="27">
        <f>SUM(AG9:AG51)</f>
        <v>0</v>
      </c>
      <c r="AH5" s="27">
        <f>SUM(AH9:AH51)</f>
        <v>0</v>
      </c>
      <c r="AI5" s="27">
        <f t="shared" si="1"/>
        <v>0</v>
      </c>
      <c r="AJ5" s="27">
        <f>SUM(AJ9:AJ51)</f>
        <v>0</v>
      </c>
      <c r="AK5" s="27">
        <f t="shared" si="1"/>
        <v>0</v>
      </c>
      <c r="AL5" s="27">
        <f t="shared" si="1"/>
        <v>0</v>
      </c>
    </row>
    <row r="6" spans="1:39" ht="12" thickBot="1">
      <c r="A6" s="29" t="s">
        <v>5</v>
      </c>
      <c r="B6" s="30"/>
      <c r="C6" s="191" t="s">
        <v>6</v>
      </c>
      <c r="D6" s="192"/>
      <c r="E6" s="193"/>
      <c r="F6" s="191" t="s">
        <v>7</v>
      </c>
      <c r="G6" s="192"/>
      <c r="H6" s="193"/>
      <c r="I6" s="191" t="s">
        <v>8</v>
      </c>
      <c r="J6" s="192"/>
      <c r="K6" s="193"/>
      <c r="L6" s="191" t="s">
        <v>9</v>
      </c>
      <c r="M6" s="192"/>
      <c r="N6" s="193"/>
      <c r="O6" s="191" t="s">
        <v>10</v>
      </c>
      <c r="P6" s="192"/>
      <c r="Q6" s="193"/>
      <c r="R6" s="191" t="s">
        <v>11</v>
      </c>
      <c r="S6" s="192"/>
      <c r="T6" s="193"/>
      <c r="U6" s="191" t="s">
        <v>12</v>
      </c>
      <c r="V6" s="192"/>
      <c r="W6" s="193"/>
      <c r="X6" s="191" t="s">
        <v>13</v>
      </c>
      <c r="Y6" s="192"/>
      <c r="Z6" s="193"/>
      <c r="AA6" s="191" t="s">
        <v>14</v>
      </c>
      <c r="AB6" s="192"/>
      <c r="AC6" s="193"/>
      <c r="AD6" s="191" t="s">
        <v>15</v>
      </c>
      <c r="AE6" s="192"/>
      <c r="AF6" s="193"/>
      <c r="AG6" s="191" t="s">
        <v>16</v>
      </c>
      <c r="AH6" s="192"/>
      <c r="AI6" s="193"/>
      <c r="AJ6" s="191" t="s">
        <v>17</v>
      </c>
      <c r="AK6" s="192"/>
      <c r="AL6" s="193"/>
    </row>
    <row r="7" spans="1:39">
      <c r="A7" s="31" t="s">
        <v>18</v>
      </c>
      <c r="B7" s="32" t="s">
        <v>19</v>
      </c>
      <c r="C7" s="189" t="s">
        <v>20</v>
      </c>
      <c r="D7" s="189"/>
      <c r="E7" s="190"/>
      <c r="F7" s="189" t="s">
        <v>20</v>
      </c>
      <c r="G7" s="189"/>
      <c r="H7" s="190"/>
      <c r="I7" s="189" t="s">
        <v>20</v>
      </c>
      <c r="J7" s="189"/>
      <c r="K7" s="190"/>
      <c r="L7" s="189" t="s">
        <v>20</v>
      </c>
      <c r="M7" s="189"/>
      <c r="N7" s="190"/>
      <c r="O7" s="189" t="s">
        <v>20</v>
      </c>
      <c r="P7" s="189"/>
      <c r="Q7" s="190"/>
      <c r="R7" s="189" t="s">
        <v>20</v>
      </c>
      <c r="S7" s="189"/>
      <c r="T7" s="190"/>
      <c r="U7" s="189" t="s">
        <v>20</v>
      </c>
      <c r="V7" s="189"/>
      <c r="W7" s="190"/>
      <c r="X7" s="189" t="s">
        <v>20</v>
      </c>
      <c r="Y7" s="189"/>
      <c r="Z7" s="190"/>
      <c r="AA7" s="189" t="s">
        <v>20</v>
      </c>
      <c r="AB7" s="189"/>
      <c r="AC7" s="190"/>
      <c r="AD7" s="189" t="s">
        <v>20</v>
      </c>
      <c r="AE7" s="189"/>
      <c r="AF7" s="190"/>
      <c r="AG7" s="189" t="s">
        <v>20</v>
      </c>
      <c r="AH7" s="189"/>
      <c r="AI7" s="190"/>
      <c r="AJ7" s="189" t="s">
        <v>20</v>
      </c>
      <c r="AK7" s="189"/>
      <c r="AL7" s="190"/>
    </row>
    <row r="8" spans="1:39">
      <c r="A8" s="33"/>
      <c r="B8" s="34"/>
      <c r="C8" s="35" t="s">
        <v>21</v>
      </c>
      <c r="D8" s="35" t="s">
        <v>22</v>
      </c>
      <c r="E8" s="36" t="s">
        <v>23</v>
      </c>
      <c r="F8" s="35" t="s">
        <v>21</v>
      </c>
      <c r="G8" s="35" t="s">
        <v>22</v>
      </c>
      <c r="H8" s="36" t="s">
        <v>23</v>
      </c>
      <c r="I8" s="35" t="s">
        <v>21</v>
      </c>
      <c r="J8" s="35" t="s">
        <v>22</v>
      </c>
      <c r="K8" s="36" t="s">
        <v>23</v>
      </c>
      <c r="L8" s="35" t="s">
        <v>21</v>
      </c>
      <c r="M8" s="35" t="s">
        <v>22</v>
      </c>
      <c r="N8" s="36" t="s">
        <v>23</v>
      </c>
      <c r="O8" s="35" t="s">
        <v>21</v>
      </c>
      <c r="P8" s="35" t="s">
        <v>22</v>
      </c>
      <c r="Q8" s="36" t="s">
        <v>23</v>
      </c>
      <c r="R8" s="35" t="s">
        <v>21</v>
      </c>
      <c r="S8" s="35" t="s">
        <v>22</v>
      </c>
      <c r="T8" s="36" t="s">
        <v>23</v>
      </c>
      <c r="U8" s="35" t="s">
        <v>21</v>
      </c>
      <c r="V8" s="35" t="s">
        <v>22</v>
      </c>
      <c r="W8" s="36" t="s">
        <v>23</v>
      </c>
      <c r="X8" s="35" t="s">
        <v>21</v>
      </c>
      <c r="Y8" s="35" t="s">
        <v>22</v>
      </c>
      <c r="Z8" s="36" t="s">
        <v>23</v>
      </c>
      <c r="AA8" s="35" t="s">
        <v>21</v>
      </c>
      <c r="AB8" s="35" t="s">
        <v>22</v>
      </c>
      <c r="AC8" s="36" t="s">
        <v>23</v>
      </c>
      <c r="AD8" s="35" t="s">
        <v>21</v>
      </c>
      <c r="AE8" s="35" t="s">
        <v>22</v>
      </c>
      <c r="AF8" s="36" t="s">
        <v>23</v>
      </c>
      <c r="AG8" s="35" t="s">
        <v>21</v>
      </c>
      <c r="AH8" s="35" t="s">
        <v>22</v>
      </c>
      <c r="AI8" s="36" t="s">
        <v>23</v>
      </c>
      <c r="AJ8" s="35" t="s">
        <v>21</v>
      </c>
      <c r="AK8" s="35" t="s">
        <v>22</v>
      </c>
      <c r="AL8" s="36" t="s">
        <v>23</v>
      </c>
    </row>
    <row r="9" spans="1:39">
      <c r="A9" s="10" t="s">
        <v>99</v>
      </c>
      <c r="B9" s="40" t="s">
        <v>30</v>
      </c>
      <c r="C9" s="27"/>
      <c r="F9" s="87"/>
      <c r="I9" s="27"/>
      <c r="L9" s="27"/>
      <c r="O9" s="27"/>
      <c r="R9" s="88"/>
      <c r="U9" s="27"/>
      <c r="X9" s="10"/>
      <c r="AA9" s="27"/>
      <c r="AB9" s="10"/>
      <c r="AC9" s="10"/>
      <c r="AD9" s="28"/>
      <c r="AE9" s="10"/>
      <c r="AF9" s="10"/>
      <c r="AG9" s="10"/>
      <c r="AH9" s="10"/>
      <c r="AJ9" s="27"/>
      <c r="AM9" s="41"/>
    </row>
    <row r="10" spans="1:39">
      <c r="A10" s="41"/>
      <c r="B10" s="40" t="s">
        <v>31</v>
      </c>
      <c r="C10" s="10"/>
      <c r="I10" s="10"/>
      <c r="L10" s="10"/>
      <c r="O10" s="27"/>
      <c r="R10" s="27"/>
      <c r="AA10" s="10"/>
      <c r="AB10" s="10"/>
      <c r="AC10" s="10"/>
      <c r="AD10" s="28"/>
      <c r="AE10" s="10"/>
      <c r="AF10" s="10"/>
      <c r="AG10" s="10"/>
      <c r="AH10" s="10"/>
      <c r="AM10" s="41"/>
    </row>
    <row r="11" spans="1:39" ht="12">
      <c r="A11" s="10"/>
      <c r="B11" s="40" t="s">
        <v>28</v>
      </c>
      <c r="C11" s="27"/>
      <c r="F11" s="87"/>
      <c r="L11" s="87">
        <v>51348.42</v>
      </c>
      <c r="O11" s="27"/>
      <c r="R11" s="87"/>
      <c r="U11" s="44">
        <f>115268+1008</f>
        <v>116276</v>
      </c>
      <c r="X11" s="116"/>
      <c r="AA11" s="45"/>
      <c r="AB11" s="10"/>
      <c r="AC11" s="10"/>
      <c r="AD11" s="28">
        <v>40723.89</v>
      </c>
      <c r="AE11" s="10"/>
      <c r="AF11" s="10"/>
      <c r="AG11" s="10"/>
      <c r="AH11" s="10"/>
      <c r="AJ11" s="87"/>
      <c r="AM11" s="41"/>
    </row>
    <row r="12" spans="1:39">
      <c r="A12" s="10"/>
      <c r="B12" s="40"/>
      <c r="C12" s="27"/>
      <c r="I12" s="10"/>
      <c r="X12" s="115"/>
      <c r="AA12" s="10"/>
      <c r="AB12" s="10"/>
      <c r="AC12" s="10"/>
      <c r="AD12" s="42"/>
      <c r="AE12" s="10"/>
      <c r="AF12" s="10"/>
      <c r="AG12" s="10"/>
      <c r="AH12" s="10"/>
      <c r="AJ12" s="43"/>
      <c r="AM12" s="41"/>
    </row>
    <row r="13" spans="1:39">
      <c r="A13" s="10" t="s">
        <v>32</v>
      </c>
      <c r="B13" s="40" t="s">
        <v>33</v>
      </c>
      <c r="I13" s="10"/>
      <c r="AA13" s="10"/>
      <c r="AB13" s="10"/>
      <c r="AC13" s="10"/>
      <c r="AD13" s="42"/>
      <c r="AE13" s="10"/>
      <c r="AF13" s="10"/>
      <c r="AG13" s="10"/>
      <c r="AH13" s="10"/>
      <c r="AM13" s="41"/>
    </row>
    <row r="14" spans="1:39">
      <c r="A14" s="10"/>
      <c r="B14" s="40" t="s">
        <v>34</v>
      </c>
      <c r="I14" s="10"/>
      <c r="AA14" s="10"/>
      <c r="AB14" s="10"/>
      <c r="AC14" s="10"/>
      <c r="AD14" s="42"/>
      <c r="AE14" s="10"/>
      <c r="AF14" s="10"/>
      <c r="AG14" s="10"/>
      <c r="AH14" s="10"/>
      <c r="AM14" s="41"/>
    </row>
    <row r="15" spans="1:39">
      <c r="A15" s="10"/>
      <c r="B15" s="40" t="s">
        <v>28</v>
      </c>
      <c r="C15" s="45"/>
      <c r="I15" s="10"/>
      <c r="AA15" s="27"/>
      <c r="AB15" s="10"/>
      <c r="AC15" s="10"/>
      <c r="AD15" s="42"/>
      <c r="AE15" s="10"/>
      <c r="AF15" s="10"/>
      <c r="AG15" s="10"/>
      <c r="AH15" s="10"/>
      <c r="AM15" s="41"/>
    </row>
    <row r="16" spans="1:39">
      <c r="A16" s="10"/>
      <c r="B16" s="40"/>
      <c r="I16" s="10"/>
      <c r="AA16" s="10"/>
      <c r="AB16" s="10"/>
      <c r="AC16" s="10"/>
      <c r="AD16" s="42"/>
      <c r="AE16" s="10"/>
      <c r="AF16" s="10"/>
      <c r="AG16" s="10"/>
      <c r="AH16" s="10"/>
      <c r="AM16" s="41"/>
    </row>
    <row r="17" spans="1:39">
      <c r="A17" s="10" t="s">
        <v>53</v>
      </c>
      <c r="B17" s="40" t="s">
        <v>35</v>
      </c>
      <c r="C17" s="44"/>
      <c r="F17" s="87"/>
      <c r="I17" s="87"/>
      <c r="L17" s="87"/>
      <c r="O17" s="44"/>
      <c r="R17" s="27"/>
      <c r="U17" s="27"/>
      <c r="AA17" s="27"/>
      <c r="AB17" s="10"/>
      <c r="AC17" s="10"/>
      <c r="AD17" s="28"/>
      <c r="AE17" s="10"/>
      <c r="AF17" s="10"/>
      <c r="AG17" s="27"/>
      <c r="AH17" s="10"/>
      <c r="AJ17" s="27"/>
      <c r="AM17" s="41"/>
    </row>
    <row r="18" spans="1:39">
      <c r="A18" s="44"/>
      <c r="B18" s="40" t="s">
        <v>36</v>
      </c>
      <c r="L18" s="87"/>
      <c r="AA18" s="10"/>
      <c r="AB18" s="10"/>
      <c r="AC18" s="10"/>
      <c r="AD18" s="42"/>
      <c r="AE18" s="10"/>
      <c r="AF18" s="10"/>
      <c r="AG18" s="10"/>
      <c r="AH18" s="10"/>
      <c r="AM18" s="41"/>
    </row>
    <row r="19" spans="1:39">
      <c r="A19" s="10"/>
      <c r="B19" s="40" t="s">
        <v>28</v>
      </c>
      <c r="C19" s="7">
        <v>17281.060000000001</v>
      </c>
      <c r="F19" s="45"/>
      <c r="L19" s="11">
        <v>273417.03999999998</v>
      </c>
      <c r="O19" s="45">
        <v>7810.9</v>
      </c>
      <c r="U19" s="87">
        <v>106301.02</v>
      </c>
      <c r="AA19" s="87">
        <v>61715.01</v>
      </c>
      <c r="AB19" s="10"/>
      <c r="AC19" s="10"/>
      <c r="AD19" s="28"/>
      <c r="AE19" s="10"/>
      <c r="AF19" s="10"/>
      <c r="AG19" s="87"/>
      <c r="AH19" s="10"/>
      <c r="AJ19" s="87"/>
      <c r="AM19" s="41"/>
    </row>
    <row r="20" spans="1:39">
      <c r="A20" s="10"/>
      <c r="B20" s="40"/>
      <c r="AA20" s="10"/>
      <c r="AB20" s="10"/>
      <c r="AC20" s="10"/>
      <c r="AD20" s="42"/>
      <c r="AE20" s="10"/>
      <c r="AF20" s="10"/>
      <c r="AG20" s="10"/>
      <c r="AH20" s="10"/>
      <c r="AM20" s="41"/>
    </row>
    <row r="21" spans="1:39">
      <c r="A21" s="10" t="s">
        <v>37</v>
      </c>
      <c r="B21" s="40" t="s">
        <v>38</v>
      </c>
      <c r="C21" s="27"/>
      <c r="F21" s="87"/>
      <c r="I21" s="27"/>
      <c r="R21" s="87"/>
      <c r="U21" s="87"/>
      <c r="X21" s="27"/>
      <c r="AA21" s="27"/>
      <c r="AB21" s="10"/>
      <c r="AC21" s="10"/>
      <c r="AD21" s="28"/>
      <c r="AE21" s="10"/>
      <c r="AF21" s="10"/>
      <c r="AG21" s="10"/>
      <c r="AH21" s="10"/>
      <c r="AM21" s="41"/>
    </row>
    <row r="22" spans="1:39">
      <c r="A22" s="10"/>
      <c r="B22" s="40" t="s">
        <v>39</v>
      </c>
      <c r="AA22" s="10"/>
      <c r="AB22" s="10"/>
      <c r="AC22" s="10"/>
      <c r="AD22" s="42"/>
      <c r="AE22" s="10"/>
      <c r="AF22" s="10"/>
      <c r="AG22" s="87"/>
      <c r="AH22" s="10"/>
      <c r="AM22" s="41"/>
    </row>
    <row r="23" spans="1:39">
      <c r="A23" s="10"/>
      <c r="B23" s="40" t="s">
        <v>28</v>
      </c>
      <c r="C23" s="45"/>
      <c r="L23" s="45"/>
      <c r="O23" s="41"/>
      <c r="R23" s="27">
        <v>48284.47</v>
      </c>
      <c r="X23" s="27">
        <v>72434.259999999995</v>
      </c>
      <c r="AA23" s="89">
        <v>16662.79</v>
      </c>
      <c r="AB23" s="10"/>
      <c r="AC23" s="10"/>
      <c r="AD23" s="87"/>
      <c r="AE23" s="10"/>
      <c r="AF23" s="10"/>
      <c r="AH23" s="10"/>
      <c r="AJ23" s="45"/>
      <c r="AM23" s="41"/>
    </row>
    <row r="24" spans="1:39">
      <c r="A24" s="10"/>
      <c r="B24" s="40"/>
      <c r="AA24" s="10"/>
      <c r="AB24" s="10"/>
      <c r="AC24" s="10"/>
      <c r="AD24" s="42"/>
      <c r="AE24" s="10"/>
      <c r="AF24" s="10"/>
      <c r="AG24" s="10"/>
      <c r="AH24" s="10"/>
      <c r="AM24" s="41"/>
    </row>
    <row r="25" spans="1:39">
      <c r="A25" s="10" t="s">
        <v>98</v>
      </c>
      <c r="B25" s="38" t="s">
        <v>100</v>
      </c>
      <c r="C25" s="39"/>
      <c r="D25" s="39"/>
      <c r="E25" s="37"/>
      <c r="F25" s="39"/>
      <c r="G25" s="39"/>
      <c r="H25" s="37"/>
      <c r="I25" s="39"/>
      <c r="J25" s="39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E25" s="37"/>
      <c r="AF25" s="37"/>
      <c r="AG25" s="37"/>
      <c r="AH25" s="37"/>
      <c r="AI25" s="37"/>
      <c r="AJ25" s="37"/>
      <c r="AK25" s="37"/>
      <c r="AL25" s="37"/>
    </row>
    <row r="26" spans="1:39">
      <c r="A26" s="10"/>
      <c r="B26" s="38" t="s">
        <v>101</v>
      </c>
      <c r="C26" s="39"/>
      <c r="D26" s="39"/>
      <c r="E26" s="37"/>
      <c r="F26" s="39"/>
      <c r="G26" s="39"/>
      <c r="H26" s="37"/>
      <c r="I26" s="39"/>
      <c r="J26" s="39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E26" s="37"/>
      <c r="AF26" s="37"/>
      <c r="AG26" s="37"/>
      <c r="AH26" s="37"/>
      <c r="AI26" s="37"/>
      <c r="AJ26" s="37"/>
      <c r="AK26" s="37"/>
      <c r="AL26" s="37"/>
    </row>
    <row r="27" spans="1:39">
      <c r="A27" s="10"/>
      <c r="B27" s="38" t="s">
        <v>28</v>
      </c>
      <c r="C27" s="39">
        <v>354371.12</v>
      </c>
      <c r="D27" s="39"/>
      <c r="E27" s="37"/>
      <c r="F27" s="39"/>
      <c r="G27" s="39"/>
      <c r="H27" s="37"/>
      <c r="I27" s="39"/>
      <c r="J27" s="39"/>
      <c r="K27" s="37"/>
      <c r="L27" s="159">
        <v>621433.89</v>
      </c>
      <c r="M27" s="37"/>
      <c r="N27" s="37"/>
      <c r="O27" s="37"/>
      <c r="P27" s="37"/>
      <c r="Q27" s="37"/>
      <c r="R27" s="37"/>
      <c r="S27" s="37"/>
      <c r="T27" s="37"/>
      <c r="U27" s="91">
        <v>420274.38</v>
      </c>
      <c r="V27" s="37"/>
      <c r="W27" s="37"/>
      <c r="X27" s="37"/>
      <c r="Y27" s="37"/>
      <c r="Z27" s="37"/>
      <c r="AA27" s="37"/>
      <c r="AB27" s="37"/>
      <c r="AC27" s="37"/>
      <c r="AE27" s="37"/>
      <c r="AF27" s="37"/>
      <c r="AG27" s="37"/>
      <c r="AH27" s="37"/>
      <c r="AI27" s="37"/>
      <c r="AJ27" s="37"/>
      <c r="AK27" s="37"/>
      <c r="AL27" s="37"/>
    </row>
    <row r="28" spans="1:39">
      <c r="A28" s="37"/>
      <c r="B28" s="38"/>
      <c r="C28" s="39"/>
      <c r="D28" s="39"/>
      <c r="E28" s="37"/>
      <c r="F28" s="39"/>
      <c r="G28" s="39"/>
      <c r="H28" s="37"/>
      <c r="I28" s="39"/>
      <c r="J28" s="39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E28" s="37"/>
      <c r="AF28" s="37"/>
      <c r="AG28" s="37"/>
      <c r="AH28" s="37"/>
      <c r="AI28" s="37"/>
      <c r="AJ28" s="37"/>
      <c r="AK28" s="37"/>
      <c r="AL28" s="37"/>
    </row>
    <row r="29" spans="1:39">
      <c r="A29" s="10" t="s">
        <v>62</v>
      </c>
      <c r="B29" s="38" t="s">
        <v>100</v>
      </c>
      <c r="C29" s="39"/>
      <c r="D29" s="39"/>
      <c r="E29" s="37"/>
      <c r="F29" s="39"/>
      <c r="G29" s="39"/>
      <c r="H29" s="37"/>
      <c r="I29" s="39"/>
      <c r="J29" s="39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E29" s="37"/>
      <c r="AF29" s="37"/>
      <c r="AG29" s="37"/>
      <c r="AH29" s="37"/>
      <c r="AI29" s="37"/>
      <c r="AJ29" s="37"/>
      <c r="AK29" s="37"/>
      <c r="AL29" s="37"/>
    </row>
    <row r="30" spans="1:39">
      <c r="A30" s="10"/>
      <c r="B30" s="40" t="s">
        <v>102</v>
      </c>
      <c r="AA30" s="10"/>
      <c r="AB30" s="10"/>
      <c r="AC30" s="10"/>
      <c r="AD30" s="42"/>
      <c r="AE30" s="10"/>
      <c r="AF30" s="10"/>
      <c r="AG30" s="10"/>
      <c r="AH30" s="10"/>
      <c r="AM30" s="41"/>
    </row>
    <row r="31" spans="1:39">
      <c r="A31" s="10"/>
      <c r="B31" s="40"/>
      <c r="AA31" s="10"/>
      <c r="AB31" s="10"/>
      <c r="AC31" s="10"/>
      <c r="AD31" s="42"/>
      <c r="AE31" s="10"/>
      <c r="AF31" s="10"/>
      <c r="AG31" s="10"/>
      <c r="AH31" s="10"/>
      <c r="AM31" s="41"/>
    </row>
    <row r="32" spans="1:39">
      <c r="A32" s="15" t="s">
        <v>28</v>
      </c>
      <c r="B32" s="40" t="s">
        <v>81</v>
      </c>
      <c r="L32" s="92"/>
      <c r="U32" s="27"/>
      <c r="AA32" s="10"/>
      <c r="AB32" s="10"/>
      <c r="AC32" s="10"/>
      <c r="AD32" s="42"/>
      <c r="AE32" s="10"/>
      <c r="AF32" s="10"/>
      <c r="AG32" s="90"/>
      <c r="AH32" s="10"/>
      <c r="AJ32" s="10"/>
      <c r="AM32" s="41"/>
    </row>
    <row r="33" spans="1:39">
      <c r="A33" s="10"/>
      <c r="B33" s="40" t="s">
        <v>41</v>
      </c>
      <c r="AA33" s="10"/>
      <c r="AB33" s="10"/>
      <c r="AC33" s="10"/>
      <c r="AD33" s="42"/>
      <c r="AE33" s="10"/>
      <c r="AF33" s="10"/>
      <c r="AG33" s="10"/>
      <c r="AH33" s="10"/>
      <c r="AM33" s="41"/>
    </row>
    <row r="34" spans="1:39">
      <c r="A34" s="10"/>
      <c r="B34" s="40" t="s">
        <v>42</v>
      </c>
      <c r="AA34" s="10"/>
      <c r="AB34" s="10"/>
      <c r="AC34" s="10"/>
      <c r="AD34" s="42"/>
      <c r="AE34" s="10"/>
      <c r="AF34" s="10"/>
      <c r="AG34" s="10"/>
      <c r="AH34" s="10"/>
      <c r="AM34" s="41"/>
    </row>
    <row r="35" spans="1:39">
      <c r="A35" s="46"/>
      <c r="B35" s="5" t="s">
        <v>46</v>
      </c>
      <c r="F35" s="87"/>
      <c r="O35" s="27"/>
      <c r="R35" s="6"/>
      <c r="S35" s="27"/>
      <c r="X35" s="87">
        <f>60199.1</f>
        <v>60199.1</v>
      </c>
      <c r="AA35" s="10"/>
      <c r="AB35" s="10"/>
      <c r="AC35" s="10"/>
      <c r="AD35" s="42"/>
      <c r="AE35" s="10"/>
      <c r="AF35" s="10"/>
      <c r="AG35" s="79"/>
      <c r="AH35" s="10"/>
      <c r="AM35" s="41"/>
    </row>
    <row r="36" spans="1:39">
      <c r="B36" s="5" t="s">
        <v>66</v>
      </c>
      <c r="L36" s="27"/>
      <c r="O36" s="27"/>
      <c r="R36" s="42"/>
      <c r="X36" s="87"/>
      <c r="AA36" s="10"/>
      <c r="AB36" s="10"/>
      <c r="AC36" s="10"/>
      <c r="AD36" s="117"/>
      <c r="AE36" s="10"/>
      <c r="AF36" s="10"/>
      <c r="AG36" s="10"/>
      <c r="AH36" s="10"/>
      <c r="AM36" s="41"/>
    </row>
    <row r="37" spans="1:39">
      <c r="B37" s="5" t="s">
        <v>47</v>
      </c>
      <c r="AA37" s="10"/>
      <c r="AB37" s="10"/>
      <c r="AC37" s="10"/>
      <c r="AD37" s="42"/>
      <c r="AE37" s="10"/>
      <c r="AF37" s="10"/>
      <c r="AG37" s="10"/>
      <c r="AH37" s="10"/>
      <c r="AM37" s="41"/>
    </row>
    <row r="38" spans="1:39">
      <c r="B38" s="5" t="s">
        <v>48</v>
      </c>
      <c r="AA38" s="10"/>
      <c r="AB38" s="10"/>
      <c r="AC38" s="10"/>
      <c r="AD38" s="42"/>
      <c r="AE38" s="10"/>
      <c r="AF38" s="10"/>
      <c r="AG38" s="10"/>
      <c r="AH38" s="10"/>
      <c r="AM38" s="41"/>
    </row>
    <row r="39" spans="1:39">
      <c r="B39" s="5" t="s">
        <v>54</v>
      </c>
      <c r="J39" s="90"/>
      <c r="K39" s="27"/>
      <c r="O39" s="27"/>
      <c r="S39" s="87"/>
      <c r="AA39" s="10"/>
      <c r="AB39" s="10"/>
      <c r="AC39" s="10"/>
      <c r="AD39" s="42"/>
      <c r="AE39" s="10"/>
      <c r="AF39" s="10"/>
      <c r="AG39" s="10"/>
      <c r="AH39" s="10"/>
      <c r="AK39" s="27"/>
      <c r="AM39" s="41"/>
    </row>
    <row r="40" spans="1:39">
      <c r="B40" s="5" t="s">
        <v>63</v>
      </c>
      <c r="AA40" s="10"/>
      <c r="AB40" s="10"/>
      <c r="AC40" s="10"/>
      <c r="AD40" s="42"/>
      <c r="AE40" s="10"/>
      <c r="AF40" s="10"/>
      <c r="AG40" s="10"/>
      <c r="AH40" s="10"/>
      <c r="AM40" s="41"/>
    </row>
    <row r="41" spans="1:39">
      <c r="A41" s="46"/>
      <c r="B41" s="5" t="s">
        <v>40</v>
      </c>
      <c r="C41" s="87"/>
      <c r="L41" s="91"/>
      <c r="N41" s="27"/>
      <c r="U41" s="27"/>
      <c r="AA41" s="27"/>
      <c r="AB41" s="10"/>
      <c r="AC41" s="10"/>
      <c r="AD41" s="45"/>
      <c r="AE41" s="10"/>
      <c r="AF41" s="10"/>
      <c r="AH41" s="10"/>
      <c r="AJ41" s="10"/>
      <c r="AM41" s="41"/>
    </row>
    <row r="42" spans="1:39">
      <c r="B42" s="5" t="s">
        <v>65</v>
      </c>
      <c r="AA42" s="10"/>
      <c r="AB42" s="10"/>
      <c r="AC42" s="10"/>
      <c r="AD42" s="42"/>
      <c r="AE42" s="10"/>
      <c r="AF42" s="27"/>
      <c r="AG42" s="10"/>
      <c r="AH42" s="10"/>
      <c r="AM42" s="41"/>
    </row>
    <row r="43" spans="1:39">
      <c r="B43" s="47" t="s">
        <v>55</v>
      </c>
      <c r="E43" s="27"/>
      <c r="K43" s="27"/>
      <c r="N43" s="27"/>
      <c r="U43" s="87"/>
      <c r="X43" s="27"/>
      <c r="AA43" s="10"/>
      <c r="AB43" s="10"/>
      <c r="AC43" s="27"/>
      <c r="AD43" s="28"/>
      <c r="AE43" s="10"/>
      <c r="AF43" s="27"/>
      <c r="AG43" s="87"/>
      <c r="AH43" s="10"/>
      <c r="AI43" s="27"/>
      <c r="AJ43" s="87"/>
      <c r="AL43" s="27"/>
      <c r="AM43" s="41"/>
    </row>
    <row r="44" spans="1:39">
      <c r="B44" s="5"/>
      <c r="E44" s="27"/>
      <c r="H44" s="27"/>
      <c r="K44" s="27"/>
      <c r="N44" s="27"/>
      <c r="AA44" s="10"/>
      <c r="AB44" s="10"/>
      <c r="AC44" s="27"/>
      <c r="AD44" s="42"/>
      <c r="AE44" s="10"/>
      <c r="AF44" s="27"/>
      <c r="AG44" s="10"/>
      <c r="AH44" s="10"/>
      <c r="AI44" s="27"/>
      <c r="AL44" s="27"/>
      <c r="AM44" s="41"/>
    </row>
    <row r="45" spans="1:39">
      <c r="E45" s="27"/>
      <c r="K45" s="27"/>
      <c r="N45" s="27"/>
      <c r="AA45" s="10"/>
      <c r="AB45" s="10"/>
      <c r="AC45" s="27"/>
      <c r="AD45" s="42"/>
      <c r="AE45" s="10"/>
      <c r="AF45" s="27"/>
      <c r="AG45" s="10"/>
      <c r="AH45" s="10"/>
      <c r="AI45" s="27"/>
      <c r="AM45" s="41"/>
    </row>
    <row r="46" spans="1:39">
      <c r="E46" s="27"/>
      <c r="N46" s="27"/>
      <c r="AA46" s="10"/>
      <c r="AB46" s="10"/>
      <c r="AC46" s="27"/>
      <c r="AD46" s="42"/>
      <c r="AE46" s="10"/>
      <c r="AF46" s="27"/>
      <c r="AG46" s="10"/>
      <c r="AH46" s="10"/>
      <c r="AM46" s="41"/>
    </row>
    <row r="47" spans="1:39">
      <c r="N47" s="45"/>
      <c r="AA47" s="10"/>
      <c r="AB47" s="10"/>
      <c r="AC47" s="27"/>
      <c r="AD47" s="42"/>
      <c r="AE47" s="10"/>
      <c r="AF47" s="27"/>
      <c r="AG47" s="10"/>
      <c r="AH47" s="10"/>
      <c r="AM47" s="41"/>
    </row>
    <row r="48" spans="1:39">
      <c r="N48" s="45"/>
      <c r="AA48" s="10"/>
      <c r="AB48" s="10"/>
      <c r="AC48" s="10"/>
      <c r="AD48" s="42"/>
      <c r="AE48" s="10"/>
      <c r="AF48" s="10"/>
      <c r="AG48" s="10"/>
      <c r="AH48" s="10"/>
      <c r="AM48" s="41"/>
    </row>
    <row r="49" spans="14:39" ht="16.5" customHeight="1">
      <c r="N49" s="45"/>
      <c r="AA49" s="10"/>
      <c r="AB49" s="10"/>
      <c r="AC49" s="10"/>
      <c r="AD49" s="42"/>
      <c r="AE49" s="10"/>
      <c r="AF49" s="10"/>
      <c r="AG49" s="10"/>
      <c r="AH49" s="10"/>
      <c r="AM49" s="41"/>
    </row>
    <row r="50" spans="14:39">
      <c r="N50" s="45"/>
      <c r="AA50" s="10"/>
      <c r="AB50" s="10"/>
      <c r="AC50" s="10"/>
      <c r="AD50" s="42"/>
      <c r="AE50" s="10"/>
      <c r="AF50" s="10"/>
      <c r="AG50" s="10"/>
      <c r="AH50" s="10"/>
      <c r="AM50" s="41"/>
    </row>
    <row r="51" spans="14:39">
      <c r="T51" s="45"/>
      <c r="Z51" s="10"/>
      <c r="AA51" s="10"/>
      <c r="AB51" s="10"/>
      <c r="AC51" s="10"/>
      <c r="AD51" s="42"/>
      <c r="AE51" s="10"/>
      <c r="AF51" s="10"/>
      <c r="AG51" s="10"/>
      <c r="AH51" s="10"/>
      <c r="AM51" s="41"/>
    </row>
    <row r="52" spans="14:39">
      <c r="AA52" s="10"/>
      <c r="AB52" s="10"/>
      <c r="AC52" s="10"/>
      <c r="AD52" s="42"/>
      <c r="AE52" s="10"/>
      <c r="AF52" s="10"/>
      <c r="AG52" s="10"/>
      <c r="AH52" s="10"/>
      <c r="AM52" s="41"/>
    </row>
    <row r="53" spans="14:39">
      <c r="AA53" s="10"/>
      <c r="AB53" s="10"/>
      <c r="AC53" s="10"/>
      <c r="AD53" s="42"/>
      <c r="AE53" s="10"/>
      <c r="AF53" s="10"/>
      <c r="AG53" s="10"/>
      <c r="AH53" s="10"/>
    </row>
    <row r="54" spans="14:39">
      <c r="AA54" s="10"/>
      <c r="AB54" s="10"/>
      <c r="AC54" s="10"/>
      <c r="AD54" s="42"/>
      <c r="AE54" s="10"/>
      <c r="AF54" s="10"/>
      <c r="AG54" s="10"/>
      <c r="AH54" s="10"/>
    </row>
    <row r="55" spans="14:39">
      <c r="AA55" s="10"/>
      <c r="AB55" s="10"/>
      <c r="AC55" s="10"/>
      <c r="AD55" s="42"/>
      <c r="AE55" s="10"/>
      <c r="AF55" s="10"/>
      <c r="AG55" s="10"/>
      <c r="AH55" s="10"/>
    </row>
  </sheetData>
  <mergeCells count="24">
    <mergeCell ref="AJ7:AL7"/>
    <mergeCell ref="AG7:AI7"/>
    <mergeCell ref="AD7:AF7"/>
    <mergeCell ref="AJ6:AL6"/>
    <mergeCell ref="AG6:AI6"/>
    <mergeCell ref="AD6:AF6"/>
    <mergeCell ref="AA6:AC6"/>
    <mergeCell ref="O6:Q6"/>
    <mergeCell ref="R6:T6"/>
    <mergeCell ref="U6:W6"/>
    <mergeCell ref="U7:W7"/>
    <mergeCell ref="R7:T7"/>
    <mergeCell ref="AA7:AC7"/>
    <mergeCell ref="X6:Z6"/>
    <mergeCell ref="C7:E7"/>
    <mergeCell ref="C6:E6"/>
    <mergeCell ref="O7:Q7"/>
    <mergeCell ref="X7:Z7"/>
    <mergeCell ref="L7:N7"/>
    <mergeCell ref="I7:K7"/>
    <mergeCell ref="F7:H7"/>
    <mergeCell ref="L6:N6"/>
    <mergeCell ref="I6:K6"/>
    <mergeCell ref="F6:H6"/>
  </mergeCells>
  <phoneticPr fontId="2" type="noConversion"/>
  <pageMargins left="0.39" right="0.75" top="1" bottom="1" header="0.5" footer="0.5"/>
  <pageSetup scale="39" orientation="landscape" r:id="rId1"/>
  <headerFooter alignWithMargins="0"/>
  <colBreaks count="1" manualBreakCount="1">
    <brk id="1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5"/>
  </sheetPr>
  <dimension ref="A1:F34"/>
  <sheetViews>
    <sheetView zoomScale="135" zoomScaleNormal="140" workbookViewId="0">
      <selection activeCell="F15" sqref="F15"/>
    </sheetView>
  </sheetViews>
  <sheetFormatPr baseColWidth="10" defaultColWidth="8.83203125" defaultRowHeight="11"/>
  <cols>
    <col min="1" max="1" width="19.6640625" style="2" bestFit="1" customWidth="1"/>
    <col min="2" max="2" width="24.6640625" style="2" customWidth="1"/>
    <col min="3" max="3" width="16.33203125" style="96" customWidth="1"/>
    <col min="4" max="4" width="30" style="2" customWidth="1"/>
    <col min="5" max="5" width="10.83203125" style="2" customWidth="1"/>
    <col min="6" max="6" width="36.83203125" style="2" customWidth="1"/>
    <col min="7" max="7" width="18" style="2" customWidth="1"/>
    <col min="8" max="8" width="15.33203125" style="2" customWidth="1"/>
    <col min="9" max="9" width="25.33203125" style="2" customWidth="1"/>
    <col min="10" max="10" width="28.83203125" style="2" customWidth="1"/>
    <col min="11" max="11" width="44.33203125" style="2" customWidth="1"/>
    <col min="12" max="12" width="28" style="2" customWidth="1"/>
    <col min="13" max="85" width="9" style="2" customWidth="1"/>
    <col min="86" max="16384" width="8.83203125" style="2"/>
  </cols>
  <sheetData>
    <row r="1" spans="1:6">
      <c r="A1" s="94" t="s">
        <v>96</v>
      </c>
      <c r="B1" s="1"/>
      <c r="C1" s="95"/>
    </row>
    <row r="2" spans="1:6">
      <c r="D2" s="96"/>
    </row>
    <row r="3" spans="1:6">
      <c r="A3" s="194" t="s">
        <v>77</v>
      </c>
      <c r="B3" s="194"/>
      <c r="C3" s="194"/>
      <c r="D3" s="194"/>
      <c r="E3" s="194"/>
      <c r="F3" s="194"/>
    </row>
    <row r="4" spans="1:6" s="95" customFormat="1">
      <c r="A4" s="97" t="s">
        <v>75</v>
      </c>
      <c r="B4" s="97" t="s">
        <v>68</v>
      </c>
      <c r="C4" s="97" t="s">
        <v>76</v>
      </c>
      <c r="D4" s="97" t="s">
        <v>67</v>
      </c>
      <c r="E4" s="97" t="s">
        <v>69</v>
      </c>
      <c r="F4" s="97" t="s">
        <v>70</v>
      </c>
    </row>
    <row r="5" spans="1:6" s="95" customFormat="1" ht="14.25" customHeight="1">
      <c r="A5" s="99" t="s">
        <v>64</v>
      </c>
      <c r="B5" s="98" t="s">
        <v>105</v>
      </c>
      <c r="C5" s="122" t="s">
        <v>103</v>
      </c>
      <c r="D5" s="99" t="s">
        <v>104</v>
      </c>
      <c r="E5" s="120">
        <f>3000*58</f>
        <v>174000</v>
      </c>
      <c r="F5" s="3" t="s">
        <v>106</v>
      </c>
    </row>
    <row r="6" spans="1:6" s="95" customFormat="1" ht="12">
      <c r="A6" s="99" t="s">
        <v>64</v>
      </c>
      <c r="B6" s="98" t="s">
        <v>112</v>
      </c>
      <c r="C6" s="123" t="s">
        <v>114</v>
      </c>
      <c r="D6" s="99" t="s">
        <v>115</v>
      </c>
      <c r="E6" s="120">
        <f>1352.61*60</f>
        <v>81156.599999999991</v>
      </c>
      <c r="F6" s="3" t="s">
        <v>113</v>
      </c>
    </row>
    <row r="7" spans="1:6" s="95" customFormat="1" ht="12">
      <c r="A7" s="99" t="s">
        <v>116</v>
      </c>
      <c r="B7" s="98" t="s">
        <v>117</v>
      </c>
      <c r="C7" s="122" t="s">
        <v>118</v>
      </c>
      <c r="D7" s="124" t="s">
        <v>119</v>
      </c>
      <c r="E7" s="121">
        <v>100000</v>
      </c>
      <c r="F7" s="3" t="s">
        <v>124</v>
      </c>
    </row>
    <row r="8" spans="1:6" s="95" customFormat="1">
      <c r="A8" s="145"/>
      <c r="B8" s="98"/>
      <c r="C8" s="146"/>
      <c r="D8" s="147"/>
      <c r="E8" s="148"/>
      <c r="F8" s="149"/>
    </row>
    <row r="9" spans="1:6">
      <c r="A9" s="101"/>
      <c r="B9" s="102"/>
      <c r="C9" s="103"/>
      <c r="D9" s="104" t="s">
        <v>59</v>
      </c>
      <c r="E9" s="105">
        <f>SUM(E5:E8)</f>
        <v>355156.6</v>
      </c>
      <c r="F9" s="101"/>
    </row>
    <row r="12" spans="1:6">
      <c r="A12" s="194" t="s">
        <v>78</v>
      </c>
      <c r="B12" s="194"/>
      <c r="C12" s="194"/>
      <c r="D12" s="194"/>
      <c r="E12" s="194"/>
      <c r="F12" s="194"/>
    </row>
    <row r="13" spans="1:6">
      <c r="A13" s="97" t="s">
        <v>75</v>
      </c>
      <c r="B13" s="97" t="s">
        <v>68</v>
      </c>
      <c r="C13" s="97" t="s">
        <v>76</v>
      </c>
      <c r="D13" s="97" t="s">
        <v>67</v>
      </c>
      <c r="E13" s="97" t="s">
        <v>69</v>
      </c>
      <c r="F13" s="97" t="s">
        <v>70</v>
      </c>
    </row>
    <row r="14" spans="1:6" ht="14.25" customHeight="1">
      <c r="A14" s="99" t="s">
        <v>64</v>
      </c>
      <c r="B14" s="98" t="s">
        <v>117</v>
      </c>
      <c r="C14" s="122" t="s">
        <v>134</v>
      </c>
      <c r="D14" s="99" t="s">
        <v>135</v>
      </c>
      <c r="E14" s="107">
        <v>150000</v>
      </c>
      <c r="F14" s="3" t="s">
        <v>136</v>
      </c>
    </row>
    <row r="15" spans="1:6" ht="14.25" customHeight="1">
      <c r="A15" s="98"/>
      <c r="B15" s="98"/>
      <c r="C15" s="106"/>
      <c r="D15" s="99"/>
      <c r="E15" s="107"/>
      <c r="F15" s="3"/>
    </row>
    <row r="16" spans="1:6" ht="14.25" customHeight="1">
      <c r="A16" s="98"/>
      <c r="B16" s="98"/>
      <c r="C16" s="106"/>
      <c r="D16" s="99"/>
      <c r="E16" s="107"/>
      <c r="F16" s="3"/>
    </row>
    <row r="17" spans="1:6" ht="14.25" customHeight="1">
      <c r="A17" s="119"/>
      <c r="B17" s="98"/>
      <c r="C17" s="106"/>
      <c r="D17" s="99"/>
      <c r="E17" s="107"/>
      <c r="F17" s="3"/>
    </row>
    <row r="18" spans="1:6">
      <c r="A18" s="98"/>
      <c r="B18" s="100"/>
      <c r="C18" s="106"/>
      <c r="D18" s="118"/>
      <c r="E18" s="107"/>
      <c r="F18" s="118"/>
    </row>
    <row r="19" spans="1:6">
      <c r="D19" s="94" t="s">
        <v>59</v>
      </c>
      <c r="E19" s="108">
        <f>SUM(E14:E18)</f>
        <v>150000</v>
      </c>
    </row>
    <row r="21" spans="1:6" hidden="1">
      <c r="E21" s="109"/>
    </row>
    <row r="22" spans="1:6" s="112" customFormat="1" hidden="1">
      <c r="C22" s="110"/>
      <c r="D22" s="111" t="s">
        <v>82</v>
      </c>
    </row>
    <row r="23" spans="1:6" hidden="1">
      <c r="E23" s="113"/>
    </row>
    <row r="24" spans="1:6" hidden="1">
      <c r="E24" s="113"/>
    </row>
    <row r="25" spans="1:6" hidden="1">
      <c r="E25" s="113"/>
    </row>
    <row r="26" spans="1:6" hidden="1">
      <c r="E26" s="113"/>
    </row>
    <row r="27" spans="1:6" hidden="1">
      <c r="E27" s="113"/>
    </row>
    <row r="28" spans="1:6" hidden="1">
      <c r="E28" s="113"/>
    </row>
    <row r="29" spans="1:6" hidden="1">
      <c r="E29" s="113"/>
    </row>
    <row r="30" spans="1:6" hidden="1">
      <c r="E30" s="113"/>
    </row>
    <row r="31" spans="1:6" hidden="1">
      <c r="E31" s="113"/>
    </row>
    <row r="32" spans="1:6" hidden="1">
      <c r="E32" s="113"/>
    </row>
    <row r="33" spans="4:4" hidden="1">
      <c r="D33" s="114" t="s">
        <v>83</v>
      </c>
    </row>
    <row r="34" spans="4:4" hidden="1"/>
  </sheetData>
  <mergeCells count="2">
    <mergeCell ref="A3:F3"/>
    <mergeCell ref="A12:F12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G44"/>
  <sheetViews>
    <sheetView tabSelected="1" zoomScale="125" zoomScaleNormal="104" workbookViewId="0">
      <selection activeCell="C12" sqref="C12"/>
    </sheetView>
  </sheetViews>
  <sheetFormatPr baseColWidth="10" defaultColWidth="8.83203125" defaultRowHeight="12"/>
  <cols>
    <col min="1" max="1" width="30.83203125" style="134" customWidth="1"/>
    <col min="2" max="2" width="10.83203125" style="135" customWidth="1"/>
    <col min="3" max="3" width="12.5" style="135" customWidth="1"/>
    <col min="4" max="4" width="35.83203125" style="136" customWidth="1"/>
    <col min="5" max="5" width="23.33203125" style="129" customWidth="1"/>
    <col min="6" max="6" width="12.5" style="129" customWidth="1"/>
    <col min="7" max="7" width="10.33203125" style="129" customWidth="1"/>
    <col min="8" max="16384" width="8.83203125" style="129"/>
  </cols>
  <sheetData>
    <row r="1" spans="1:7" s="128" customFormat="1" ht="22.75" customHeight="1">
      <c r="A1" s="125" t="s">
        <v>97</v>
      </c>
      <c r="B1" s="126" t="s">
        <v>3</v>
      </c>
      <c r="C1" s="126" t="s">
        <v>4</v>
      </c>
      <c r="D1" s="127" t="s">
        <v>70</v>
      </c>
    </row>
    <row r="2" spans="1:7" ht="25" customHeight="1">
      <c r="A2" s="166" t="s">
        <v>111</v>
      </c>
      <c r="B2" s="167">
        <v>2047.49</v>
      </c>
      <c r="C2" s="151"/>
      <c r="D2" s="156" t="s">
        <v>131</v>
      </c>
      <c r="F2" s="157"/>
      <c r="G2" s="158"/>
    </row>
    <row r="3" spans="1:7" ht="25" customHeight="1">
      <c r="A3" s="166" t="s">
        <v>125</v>
      </c>
      <c r="B3" s="167">
        <v>1046.21</v>
      </c>
      <c r="C3" s="151"/>
      <c r="D3" s="156" t="s">
        <v>132</v>
      </c>
      <c r="F3" s="157"/>
      <c r="G3" s="158"/>
    </row>
    <row r="4" spans="1:7" ht="27" customHeight="1">
      <c r="A4" s="168" t="s">
        <v>126</v>
      </c>
      <c r="B4" s="167"/>
      <c r="C4" s="151">
        <v>30711</v>
      </c>
      <c r="D4" s="156" t="s">
        <v>129</v>
      </c>
    </row>
    <row r="5" spans="1:7" ht="27" customHeight="1">
      <c r="A5" s="169" t="s">
        <v>122</v>
      </c>
      <c r="B5" s="167"/>
      <c r="C5" s="177">
        <v>83553.350000000006</v>
      </c>
      <c r="D5" s="178" t="s">
        <v>130</v>
      </c>
    </row>
    <row r="6" spans="1:7" ht="14" customHeight="1">
      <c r="A6" s="172"/>
      <c r="B6" s="174"/>
      <c r="C6" s="195" t="s">
        <v>51</v>
      </c>
      <c r="D6" s="196">
        <v>40487.949999999997</v>
      </c>
      <c r="F6" s="157"/>
    </row>
    <row r="7" spans="1:7" ht="14" customHeight="1">
      <c r="A7" s="173"/>
      <c r="B7" s="174"/>
      <c r="C7" s="195" t="s">
        <v>127</v>
      </c>
      <c r="D7" s="196">
        <v>40236.5</v>
      </c>
      <c r="F7" s="157"/>
    </row>
    <row r="8" spans="1:7" ht="14" customHeight="1">
      <c r="A8" s="175"/>
      <c r="B8" s="176"/>
      <c r="C8" s="195" t="s">
        <v>128</v>
      </c>
      <c r="D8" s="196">
        <v>2828.9</v>
      </c>
      <c r="F8" s="157"/>
    </row>
    <row r="9" spans="1:7" ht="27" customHeight="1">
      <c r="A9" s="170" t="s">
        <v>123</v>
      </c>
      <c r="B9" s="171">
        <v>6910.07</v>
      </c>
      <c r="C9" s="179"/>
      <c r="D9" s="180" t="s">
        <v>133</v>
      </c>
    </row>
    <row r="10" spans="1:7" ht="27" customHeight="1">
      <c r="A10" s="170" t="s">
        <v>137</v>
      </c>
      <c r="B10" s="171">
        <v>1939.83</v>
      </c>
      <c r="C10" s="179"/>
      <c r="D10" s="180" t="s">
        <v>138</v>
      </c>
    </row>
    <row r="11" spans="1:7" s="128" customFormat="1" ht="13.5" customHeight="1">
      <c r="A11" s="130" t="s">
        <v>59</v>
      </c>
      <c r="B11" s="182">
        <f>SUM(B2:B10)</f>
        <v>11943.6</v>
      </c>
      <c r="C11" s="181">
        <f>SUM(C2:C9)</f>
        <v>114264.35</v>
      </c>
      <c r="D11" s="131"/>
    </row>
    <row r="12" spans="1:7" s="128" customFormat="1" ht="13.5" customHeight="1">
      <c r="B12" s="165"/>
      <c r="C12" s="132"/>
      <c r="D12" s="133"/>
    </row>
    <row r="14" spans="1:7" hidden="1"/>
    <row r="15" spans="1:7" ht="13" hidden="1">
      <c r="A15" s="137"/>
      <c r="C15" s="144">
        <v>276976.69</v>
      </c>
      <c r="D15" s="136" t="s">
        <v>84</v>
      </c>
    </row>
    <row r="16" spans="1:7" ht="13" hidden="1">
      <c r="C16" s="138">
        <v>2268533.35</v>
      </c>
      <c r="D16" s="136" t="s">
        <v>85</v>
      </c>
    </row>
    <row r="17" spans="3:5" ht="13" hidden="1">
      <c r="C17" s="138"/>
      <c r="D17" s="136" t="s">
        <v>86</v>
      </c>
    </row>
    <row r="18" spans="3:5" ht="13" hidden="1">
      <c r="C18" s="138"/>
      <c r="D18" s="136" t="s">
        <v>95</v>
      </c>
    </row>
    <row r="19" spans="3:5" ht="13" hidden="1" thickBot="1">
      <c r="C19" s="139">
        <f>SUM(C15:C18)</f>
        <v>2545510.04</v>
      </c>
      <c r="D19" s="150"/>
    </row>
    <row r="20" spans="3:5" hidden="1"/>
    <row r="21" spans="3:5" hidden="1"/>
    <row r="22" spans="3:5" ht="13" hidden="1">
      <c r="C22" s="140">
        <f>C25/2</f>
        <v>3000000</v>
      </c>
      <c r="D22" s="141" t="s">
        <v>91</v>
      </c>
    </row>
    <row r="23" spans="3:5" ht="13" hidden="1">
      <c r="C23" s="142">
        <f>C19/C22</f>
        <v>0.84850334666666671</v>
      </c>
      <c r="D23" s="136" t="s">
        <v>92</v>
      </c>
    </row>
    <row r="24" spans="3:5" hidden="1"/>
    <row r="25" spans="3:5" ht="13" hidden="1">
      <c r="C25" s="140">
        <v>6000000</v>
      </c>
      <c r="D25" s="141" t="s">
        <v>87</v>
      </c>
    </row>
    <row r="26" spans="3:5" ht="13" hidden="1">
      <c r="C26" s="142">
        <f>C19/C25</f>
        <v>0.42425167333333336</v>
      </c>
      <c r="D26" s="136" t="s">
        <v>92</v>
      </c>
    </row>
    <row r="27" spans="3:5" hidden="1"/>
    <row r="28" spans="3:5" hidden="1">
      <c r="E28" s="160"/>
    </row>
    <row r="29" spans="3:5">
      <c r="E29" s="160"/>
    </row>
    <row r="30" spans="3:5">
      <c r="E30" s="161"/>
    </row>
    <row r="31" spans="3:5">
      <c r="E31" s="161"/>
    </row>
    <row r="32" spans="3:5">
      <c r="E32" s="161"/>
    </row>
    <row r="44" spans="2:3">
      <c r="B44" s="143"/>
      <c r="C44" s="143"/>
    </row>
  </sheetData>
  <phoneticPr fontId="2" type="noConversion"/>
  <pageMargins left="0.74803149606299213" right="0.74803149606299213" top="0.98425196850393704" bottom="0.98425196850393704" header="0.51181102362204722" footer="0.51181102362204722"/>
  <pageSetup scale="90" orientation="landscape" horizontalDpi="4294967295" verticalDpi="4294967295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cee9a0-f3be-49eb-a0d2-3a5345ea13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7012A6F8E82C419500D7DCDA62AB6E" ma:contentTypeVersion="12" ma:contentTypeDescription="Create a new document." ma:contentTypeScope="" ma:versionID="07deac5b88fe5f13ed33049422d65283">
  <xsd:schema xmlns:xsd="http://www.w3.org/2001/XMLSchema" xmlns:xs="http://www.w3.org/2001/XMLSchema" xmlns:p="http://schemas.microsoft.com/office/2006/metadata/properties" xmlns:ns3="1dcee9a0-f3be-49eb-a0d2-3a5345ea1326" targetNamespace="http://schemas.microsoft.com/office/2006/metadata/properties" ma:root="true" ma:fieldsID="ce707fc7e8315557fe9e96709b4950db" ns3:_="">
    <xsd:import namespace="1dcee9a0-f3be-49eb-a0d2-3a5345ea13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cee9a0-f3be-49eb-a0d2-3a5345ea1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84957A-F5BF-4315-8FBE-84EAE27714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D3078D-F124-4676-AD24-AF231E0D5543}">
  <ds:schemaRefs>
    <ds:schemaRef ds:uri="http://www.w3.org/XML/1998/namespace"/>
    <ds:schemaRef ds:uri="1dcee9a0-f3be-49eb-a0d2-3a5345ea1326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9748389-950F-4E80-BFA8-6807C1481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cee9a0-f3be-49eb-a0d2-3a5345ea13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Rebates Distis &amp; Dealers</vt:lpstr>
      <vt:lpstr>Rebate Principals</vt:lpstr>
      <vt:lpstr>Mktg. Coop Fund</vt:lpstr>
      <vt:lpstr>Pending</vt:lpstr>
      <vt:lpstr>'Rebate Principals'!Print_Titles</vt:lpstr>
      <vt:lpstr>'Rebates Distis &amp; Dealers'!Print_Titles</vt:lpstr>
    </vt:vector>
  </TitlesOfParts>
  <Company>MicroPhase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jcdeguia</dc:creator>
  <cp:lastModifiedBy>Kimberly De Guia</cp:lastModifiedBy>
  <cp:lastPrinted>2018-05-15T00:45:29Z</cp:lastPrinted>
  <dcterms:created xsi:type="dcterms:W3CDTF">2007-11-28T07:50:11Z</dcterms:created>
  <dcterms:modified xsi:type="dcterms:W3CDTF">2026-09-16T09:04:37Z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0x010100A87012A6F8E82C419500D7DCDA62AB6E</vt:lpwstr>
  </property>
</Properties>
</file>